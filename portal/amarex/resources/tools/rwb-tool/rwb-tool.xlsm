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DieseArbeitsmappe"/>
  <mc:AlternateContent xmlns:mc="http://schemas.openxmlformats.org/markup-compatibility/2006">
    <mc:Choice Requires="x15">
      <x15ac:absPath xmlns:x15ac="http://schemas.microsoft.com/office/spreadsheetml/2010/11/ac" url="L:\2022_BMBF_WaX_AMAREX_518\04_Projektbearbeitung\AP2\Aufgabe_2.4\"/>
    </mc:Choice>
  </mc:AlternateContent>
  <xr:revisionPtr revIDLastSave="0" documentId="13_ncr:1_{CA4190FA-1963-495A-A78E-77BAF4CED2D2}" xr6:coauthVersionLast="36" xr6:coauthVersionMax="36" xr10:uidLastSave="{00000000-0000-0000-0000-000000000000}"/>
  <bookViews>
    <workbookView xWindow="0" yWindow="0" windowWidth="25200" windowHeight="11775" xr2:uid="{7A92C3E9-669A-4715-BC65-E8B360E2053D}"/>
  </bookViews>
  <sheets>
    <sheet name="RWB+ Tool" sheetId="1" r:id="rId1"/>
    <sheet name="Report" sheetId="4" r:id="rId2"/>
    <sheet name="Daten_1" sheetId="2" r:id="rId3"/>
    <sheet name="Daten_2" sheetId="3" r:id="rId4"/>
  </sheets>
  <functionGroups builtInGroupCount="19"/>
  <definedNames>
    <definedName name="_xlnm.Print_Area" localSheetId="0">'RWB+ Tool'!$A$1:$P$35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2" i="4" l="1"/>
  <c r="I33" i="4"/>
  <c r="I31" i="4"/>
  <c r="I41" i="4" l="1"/>
  <c r="I42" i="4"/>
  <c r="I43" i="4"/>
  <c r="I44" i="4"/>
  <c r="I45" i="4"/>
  <c r="I46" i="4"/>
  <c r="I47" i="4"/>
  <c r="I48" i="4"/>
  <c r="I49" i="4"/>
  <c r="I50" i="4"/>
  <c r="I51" i="4"/>
  <c r="I40" i="4"/>
  <c r="F40" i="4"/>
  <c r="F41" i="4"/>
  <c r="F42" i="4"/>
  <c r="F43" i="4"/>
  <c r="F44" i="4"/>
  <c r="F45" i="4"/>
  <c r="F46" i="4"/>
  <c r="F47" i="4"/>
  <c r="F48" i="4"/>
  <c r="F49" i="4"/>
  <c r="F50" i="4"/>
  <c r="F51" i="4"/>
  <c r="D32" i="4"/>
  <c r="D31" i="4"/>
  <c r="F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betül yücel</author>
    <author>Jonas Neumann</author>
  </authors>
  <commentList>
    <comment ref="C10" authorId="0" shapeId="0" xr:uid="{ECC173E9-16B8-4208-BE67-F8AFAED4D736}">
      <text>
        <r>
          <rPr>
            <sz val="9"/>
            <color indexed="81"/>
            <rFont val="Segoe UI"/>
            <family val="2"/>
          </rPr>
          <t>Größe der versickerungsfähigen Grünfläche im Gebiet, die für Versickerungsanlagen verwendet werden kann.</t>
        </r>
        <r>
          <rPr>
            <b/>
            <sz val="9"/>
            <color indexed="81"/>
            <rFont val="Segoe UI"/>
            <family val="2"/>
          </rPr>
          <t xml:space="preserve">
</t>
        </r>
      </text>
    </comment>
    <comment ref="C11" authorId="0" shapeId="0" xr:uid="{202C03D3-F56B-4644-AE4D-AAE74B1B49D9}">
      <text>
        <r>
          <rPr>
            <sz val="9"/>
            <color indexed="81"/>
            <rFont val="Segoe UI"/>
            <family val="2"/>
          </rPr>
          <t>Größe der Dachfläche im Gebiet, die zu Gründächern/Retentionsdächern umgerüstet werden kann.</t>
        </r>
      </text>
    </comment>
    <comment ref="C12" authorId="0" shapeId="0" xr:uid="{27B5514C-9602-4D0A-91D8-A43B15EAF855}">
      <text>
        <r>
          <rPr>
            <sz val="9"/>
            <color indexed="81"/>
            <rFont val="Segoe UI"/>
            <family val="2"/>
          </rPr>
          <t>Größe der Dachfläche im Gebiet, die an Zisternen/Retentionszisternen angeschlossen werden kann.</t>
        </r>
      </text>
    </comment>
    <comment ref="C17" authorId="1" shapeId="0" xr:uid="{253F302C-9C22-4B5C-8F6F-84E851657709}">
      <text>
        <r>
          <rPr>
            <sz val="9"/>
            <color indexed="81"/>
            <rFont val="Segoe UI"/>
            <family val="2"/>
          </rPr>
          <t xml:space="preserve">Größe der Dachfläche, die durch die jeweiligen RWBA bewirtschaftet werden kann. Wird anhand des durch den Nutzer angegebenen Potenzials für RWBA berechnet.
</t>
        </r>
      </text>
    </comment>
    <comment ref="F17" authorId="1" shapeId="0" xr:uid="{B1872668-5427-4DFE-882E-3716B9AB325B}">
      <text>
        <r>
          <rPr>
            <sz val="9"/>
            <color indexed="81"/>
            <rFont val="Segoe UI"/>
            <family val="2"/>
          </rPr>
          <t>Die bewirtschaftbare Dachfläche kann in Bezug auf die Gesamtfläche des EZG als Bewirtschaftungsanteil in Prozent angegeben werden. Dieser Bewirtschaftungsanteil ist für die Berechnung im Tool auf 39 % begrenzt. Bei höheren Werten wird der Wert N/A ausgegeben und die "Dateneingabe Potenzial RWBA" muss angepasst werden.</t>
        </r>
      </text>
    </comment>
    <comment ref="C30" authorId="1" shapeId="0" xr:uid="{E519B346-A067-4280-9E26-B0041E8C22CC}">
      <text>
        <r>
          <rPr>
            <sz val="9"/>
            <color indexed="81"/>
            <rFont val="Segoe UI"/>
            <family val="2"/>
          </rPr>
          <t xml:space="preserve">Gedrosselte Variante der Retentionszisterne
</t>
        </r>
      </text>
    </comment>
  </commentList>
</comments>
</file>

<file path=xl/sharedStrings.xml><?xml version="1.0" encoding="utf-8"?>
<sst xmlns="http://schemas.openxmlformats.org/spreadsheetml/2006/main" count="130" uniqueCount="68">
  <si>
    <t>[ha]</t>
  </si>
  <si>
    <t>[%]</t>
  </si>
  <si>
    <t>Gesamtfläche EZG</t>
  </si>
  <si>
    <t>Dachfläche</t>
  </si>
  <si>
    <t>Verfügbare Grünfläche</t>
  </si>
  <si>
    <t>Umrüstbare Dachfläche</t>
  </si>
  <si>
    <r>
      <t>A</t>
    </r>
    <r>
      <rPr>
        <b/>
        <vertAlign val="subscript"/>
        <sz val="11"/>
        <color theme="1"/>
        <rFont val="Aptos Narrow"/>
        <family val="2"/>
        <scheme val="minor"/>
      </rPr>
      <t>Anlage</t>
    </r>
    <r>
      <rPr>
        <b/>
        <sz val="11"/>
        <color theme="1"/>
        <rFont val="Aptos Narrow"/>
        <family val="2"/>
        <scheme val="minor"/>
      </rPr>
      <t xml:space="preserve"> : A</t>
    </r>
    <r>
      <rPr>
        <b/>
        <vertAlign val="subscript"/>
        <sz val="11"/>
        <color theme="1"/>
        <rFont val="Aptos Narrow"/>
        <family val="2"/>
        <scheme val="minor"/>
      </rPr>
      <t>Bem</t>
    </r>
  </si>
  <si>
    <t>Mulde_5a</t>
  </si>
  <si>
    <t>Mulde_100a</t>
  </si>
  <si>
    <t>Rigole_5a</t>
  </si>
  <si>
    <t>Rigole_100a</t>
  </si>
  <si>
    <t>MRE_5a</t>
  </si>
  <si>
    <t>MRE_100</t>
  </si>
  <si>
    <t>Ext GD</t>
  </si>
  <si>
    <t>Int GD</t>
  </si>
  <si>
    <t>Ret D</t>
  </si>
  <si>
    <t>Zis</t>
  </si>
  <si>
    <t>Ret Z</t>
  </si>
  <si>
    <t>Ret Z gedr</t>
  </si>
  <si>
    <t>Mulden_5a</t>
  </si>
  <si>
    <t>Mulden_100a</t>
  </si>
  <si>
    <t>MRE_100a</t>
  </si>
  <si>
    <t>Gründächer (ext)</t>
  </si>
  <si>
    <t>Gündächer (int)</t>
  </si>
  <si>
    <t>Retentionsdächer</t>
  </si>
  <si>
    <t>100a_60min</t>
  </si>
  <si>
    <t>100mm_60min</t>
  </si>
  <si>
    <t>x</t>
  </si>
  <si>
    <t>y</t>
  </si>
  <si>
    <t>Zisternen</t>
  </si>
  <si>
    <t>Retentionzisterne</t>
  </si>
  <si>
    <t>Retentionszisterne</t>
  </si>
  <si>
    <t>gedrosselt</t>
  </si>
  <si>
    <t>ungedrosselt</t>
  </si>
  <si>
    <t xml:space="preserve">An Zisternen anschließbare Dachfläche </t>
  </si>
  <si>
    <t>Keine Anlagen-kombinationen möglich!</t>
  </si>
  <si>
    <t>Reduzierung des Überflutungsvolumens:</t>
  </si>
  <si>
    <t>Bewirtschaftbare Dachfläche:</t>
  </si>
  <si>
    <t>Wirkungskurve RWB/RWB+</t>
  </si>
  <si>
    <t>ha</t>
  </si>
  <si>
    <t>Gebietsgröße:</t>
  </si>
  <si>
    <t>Eingabe</t>
  </si>
  <si>
    <t>Zwischenberechnung</t>
  </si>
  <si>
    <t>Ergebnis</t>
  </si>
  <si>
    <t>Gebiet:</t>
  </si>
  <si>
    <t>Mulden 5 a</t>
  </si>
  <si>
    <t>Mulden 100 a</t>
  </si>
  <si>
    <t>Rigole 5 a</t>
  </si>
  <si>
    <t>Rigole 100 a</t>
  </si>
  <si>
    <t>MRE 5 a</t>
  </si>
  <si>
    <t>MRE 100 a</t>
  </si>
  <si>
    <t>Eingangsdaten</t>
  </si>
  <si>
    <t>Ergebnisse</t>
  </si>
  <si>
    <t>Reduzierung des Überflutungsvolumens durch RWB/RWB+:</t>
  </si>
  <si>
    <t>Niederschlagsbelastung:</t>
  </si>
  <si>
    <t>Rigolen 5 a</t>
  </si>
  <si>
    <t>Rigolen 100 a</t>
  </si>
  <si>
    <t>Retentionzisternen</t>
  </si>
  <si>
    <t>Retentionszisternen gedr</t>
  </si>
  <si>
    <t xml:space="preserve">     Festgelegte Bodenart:</t>
  </si>
  <si>
    <t>Potenzial RWBA:</t>
  </si>
  <si>
    <t>Mittelsand</t>
  </si>
  <si>
    <t>An Zisternen anschließbare Dachfläche</t>
  </si>
  <si>
    <r>
      <t>h</t>
    </r>
    <r>
      <rPr>
        <vertAlign val="subscript"/>
        <sz val="11"/>
        <color theme="1"/>
        <rFont val="Aptos Narrow"/>
        <scheme val="minor"/>
      </rPr>
      <t>N</t>
    </r>
    <r>
      <rPr>
        <sz val="11"/>
        <color theme="1"/>
        <rFont val="Aptos Narrow"/>
        <scheme val="minor"/>
      </rPr>
      <t xml:space="preserve"> = 48,9 mm, D = 60min, T = 100 a</t>
    </r>
  </si>
  <si>
    <r>
      <t xml:space="preserve">       h</t>
    </r>
    <r>
      <rPr>
        <vertAlign val="subscript"/>
        <sz val="11"/>
        <color theme="1"/>
        <rFont val="Aptos Narrow"/>
        <scheme val="minor"/>
      </rPr>
      <t>N</t>
    </r>
    <r>
      <rPr>
        <sz val="11"/>
        <color theme="1"/>
        <rFont val="Aptos Narrow"/>
        <scheme val="minor"/>
      </rPr>
      <t xml:space="preserve"> = 100 mm, D = 60min</t>
    </r>
  </si>
  <si>
    <t>Überflutungsminderung durch Regenwasserbewirtschaftungsanlagen</t>
  </si>
  <si>
    <t>Retentionszisterne gedrosselt</t>
  </si>
  <si>
    <t>Schätzung für ein eigenes Einzugsgebiet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</si>
</sst>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33">
    <font>
      <sz val="11"/>
      <color theme="1"/>
      <name val="Aptos Narrow"/>
      <family val="2"/>
      <scheme val="minor"/>
    </font>
    <font>
      <b/>
      <sz val="11"/>
      <color theme="1"/>
      <name val="Aptos Narrow"/>
      <family val="2"/>
      <scheme val="minor"/>
    </font>
    <font>
      <b/>
      <vertAlign val="subscript"/>
      <sz val="11"/>
      <color theme="1"/>
      <name val="Aptos Narrow"/>
      <family val="2"/>
      <scheme val="minor"/>
    </font>
    <font>
      <sz val="9"/>
      <color indexed="81"/>
      <name val="Segoe UI"/>
      <family val="2"/>
    </font>
    <font>
      <sz val="9"/>
      <color theme="1"/>
      <name val="Aptos Narrow"/>
      <family val="2"/>
      <scheme val="minor"/>
    </font>
    <font>
      <sz val="12"/>
      <color theme="1"/>
      <name val="Aptos Narrow"/>
      <family val="2"/>
      <scheme val="minor"/>
    </font>
    <font>
      <sz val="8"/>
      <color rgb="FF000000"/>
      <name val="Segoe UI"/>
      <family val="2"/>
    </font>
    <font>
      <sz val="9"/>
      <color rgb="FFFF0000"/>
      <name val="Aptos Narrow"/>
      <family val="2"/>
      <scheme val="minor"/>
    </font>
    <font>
      <sz val="10.5"/>
      <color theme="1"/>
      <name val="Aptos Narrow"/>
      <family val="2"/>
      <scheme val="minor"/>
    </font>
    <font>
      <sz val="8"/>
      <name val="Aptos Narrow"/>
      <family val="2"/>
      <scheme val="minor"/>
    </font>
    <font>
      <b/>
      <sz val="11"/>
      <color rgb="FFFF0000"/>
      <name val="Aptos Narrow"/>
      <family val="2"/>
      <scheme val="minor"/>
    </font>
    <font>
      <b/>
      <sz val="11"/>
      <color theme="1"/>
      <name val="Aptos Narrow"/>
      <family val="2"/>
      <scheme val="minor"/>
    </font>
    <font>
      <sz val="11"/>
      <color theme="1"/>
      <name val="Aptos Narrow"/>
      <family val="2"/>
      <scheme val="minor"/>
    </font>
    <font>
      <b/>
      <sz val="9"/>
      <color theme="1"/>
      <name val="Aptos Narrow"/>
      <family val="2"/>
      <scheme val="minor"/>
    </font>
    <font>
      <sz val="9"/>
      <color theme="1"/>
      <name val="Aptos Narrow"/>
      <family val="2"/>
      <scheme val="minor"/>
    </font>
    <font>
      <sz val="8"/>
      <color theme="1"/>
      <name val="Aptos Narrow"/>
      <family val="2"/>
      <scheme val="minor"/>
    </font>
    <font>
      <b/>
      <sz val="18"/>
      <color theme="0"/>
      <name val="Aptos Narrow"/>
      <family val="2"/>
      <scheme val="minor"/>
    </font>
    <font>
      <sz val="9"/>
      <color theme="9"/>
      <name val="Aptos Narrow"/>
      <family val="2"/>
      <scheme val="minor"/>
    </font>
    <font>
      <sz val="11"/>
      <name val="Aptos Narrow"/>
      <family val="2"/>
      <scheme val="minor"/>
    </font>
    <font>
      <sz val="11"/>
      <color theme="0"/>
      <name val="Aptos Narrow"/>
      <family val="2"/>
      <scheme val="minor"/>
    </font>
    <font>
      <sz val="11"/>
      <color rgb="FFFF0000"/>
      <name val="Aptos Narrow"/>
      <family val="2"/>
      <scheme val="minor"/>
    </font>
    <font>
      <b/>
      <sz val="11"/>
      <color rgb="FFFF0000"/>
      <name val="Aptos Narrow"/>
      <family val="2"/>
      <scheme val="minor"/>
    </font>
    <font>
      <b/>
      <sz val="9"/>
      <color indexed="81"/>
      <name val="Segoe UI"/>
      <family val="2"/>
    </font>
    <font>
      <sz val="11"/>
      <color rgb="FF000000"/>
      <name val="Aptos Narrow"/>
    </font>
    <font>
      <b/>
      <sz val="11"/>
      <color rgb="FFFF0000"/>
      <name val="Aptos Narrow"/>
      <scheme val="minor"/>
    </font>
    <font>
      <b/>
      <sz val="11"/>
      <color rgb="FF173561"/>
      <name val="Aptos Narrow"/>
      <scheme val="minor"/>
    </font>
    <font>
      <sz val="10"/>
      <color theme="1"/>
      <name val="Aptos Narrow"/>
      <family val="2"/>
      <scheme val="minor"/>
    </font>
    <font>
      <sz val="11"/>
      <color theme="1"/>
      <name val="Aptos Narrow"/>
      <scheme val="minor"/>
    </font>
    <font>
      <vertAlign val="subscript"/>
      <sz val="11"/>
      <color theme="1"/>
      <name val="Aptos Narrow"/>
      <scheme val="minor"/>
    </font>
    <font>
      <b/>
      <sz val="12"/>
      <color rgb="FF173561"/>
      <name val="Aptos Narrow"/>
      <scheme val="minor"/>
    </font>
    <font>
      <b/>
      <u/>
      <sz val="12"/>
      <color theme="1"/>
      <name val="Aptos Narrow"/>
      <family val="2"/>
      <scheme val="minor"/>
    </font>
    <font>
      <b/>
      <u/>
      <sz val="12"/>
      <color theme="1"/>
      <name val="Aptos Narrow"/>
      <scheme val="minor"/>
    </font>
    <font>
      <b/>
      <sz val="11"/>
      <color theme="1"/>
      <name val="Aptos Narrow"/>
      <scheme val="minor"/>
    </font>
  </fonts>
  <fills count="21">
    <fill>
      <patternFill patternType="none"/>
    </fill>
    <fill>
      <patternFill patternType="gray125"/>
    </fill>
    <fill>
      <patternFill patternType="solid">
        <fgColor rgb="FFFFFF99"/>
        <bgColor indexed="64"/>
      </patternFill>
    </fill>
    <fill>
      <patternFill patternType="solid">
        <fgColor theme="9" tint="0.39997558519241921"/>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rgb="FFBF9393"/>
        <bgColor indexed="64"/>
      </patternFill>
    </fill>
    <fill>
      <patternFill patternType="solid">
        <fgColor rgb="FFC7A1E3"/>
        <bgColor indexed="64"/>
      </patternFill>
    </fill>
    <fill>
      <patternFill patternType="solid">
        <fgColor indexed="65"/>
        <bgColor indexed="64"/>
      </patternFill>
    </fill>
    <fill>
      <patternFill patternType="solid">
        <fgColor rgb="FF173561"/>
        <bgColor indexed="64"/>
      </patternFill>
    </fill>
    <fill>
      <patternFill patternType="solid">
        <fgColor theme="5" tint="0.79998168889431442"/>
        <bgColor indexed="64"/>
      </patternFill>
    </fill>
    <fill>
      <patternFill patternType="solid">
        <fgColor rgb="FFFFA3A3"/>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auto="1"/>
      </left>
      <right/>
      <top style="thin">
        <color auto="1"/>
      </top>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s>
  <cellStyleXfs count="1">
    <xf numFmtId="0" fontId="0" fillId="0" borderId="0"/>
  </cellStyleXfs>
  <cellXfs count="204">
    <xf numFmtId="0" fontId="0" fillId="0" borderId="0" xfId="0"/>
    <xf numFmtId="0" fontId="1" fillId="0" borderId="3" xfId="0" applyFont="1" applyBorder="1" applyAlignment="1">
      <alignment horizontal="center"/>
    </xf>
    <xf numFmtId="0" fontId="0" fillId="11" borderId="14" xfId="0" applyFill="1" applyBorder="1"/>
    <xf numFmtId="0" fontId="0" fillId="14" borderId="0" xfId="0" applyFill="1"/>
    <xf numFmtId="0" fontId="0" fillId="14" borderId="11" xfId="0" applyFill="1" applyBorder="1"/>
    <xf numFmtId="0" fontId="0" fillId="14" borderId="5" xfId="0" applyFill="1" applyBorder="1"/>
    <xf numFmtId="0" fontId="7" fillId="14" borderId="0" xfId="0" applyFont="1" applyFill="1"/>
    <xf numFmtId="0" fontId="1" fillId="0" borderId="0" xfId="0" applyFont="1"/>
    <xf numFmtId="0" fontId="0" fillId="17" borderId="10" xfId="0" applyFill="1" applyBorder="1"/>
    <xf numFmtId="0" fontId="0" fillId="17" borderId="12" xfId="0" applyFill="1" applyBorder="1"/>
    <xf numFmtId="0" fontId="0" fillId="17" borderId="0" xfId="0" applyFill="1"/>
    <xf numFmtId="0" fontId="0" fillId="17" borderId="7" xfId="0" applyFill="1" applyBorder="1"/>
    <xf numFmtId="0" fontId="0" fillId="17" borderId="5" xfId="0" applyFill="1" applyBorder="1"/>
    <xf numFmtId="0" fontId="0" fillId="17" borderId="13" xfId="0" applyFill="1" applyBorder="1"/>
    <xf numFmtId="1" fontId="12" fillId="17" borderId="9" xfId="0" applyNumberFormat="1" applyFont="1" applyFill="1" applyBorder="1" applyAlignment="1">
      <alignment horizontal="center"/>
    </xf>
    <xf numFmtId="1" fontId="12" fillId="17" borderId="14" xfId="0" applyNumberFormat="1" applyFont="1" applyFill="1" applyBorder="1" applyAlignment="1">
      <alignment horizontal="center"/>
    </xf>
    <xf numFmtId="1" fontId="12" fillId="17" borderId="11" xfId="0" applyNumberFormat="1" applyFont="1" applyFill="1" applyBorder="1" applyAlignment="1">
      <alignment horizontal="center"/>
    </xf>
    <xf numFmtId="1" fontId="12" fillId="17" borderId="8" xfId="0" applyNumberFormat="1" applyFont="1" applyFill="1" applyBorder="1" applyAlignment="1">
      <alignment horizontal="center"/>
    </xf>
    <xf numFmtId="1" fontId="12" fillId="17" borderId="15" xfId="0" applyNumberFormat="1" applyFont="1" applyFill="1" applyBorder="1" applyAlignment="1">
      <alignment horizontal="center"/>
    </xf>
    <xf numFmtId="1" fontId="12" fillId="17" borderId="19" xfId="0" applyNumberFormat="1" applyFont="1" applyFill="1" applyBorder="1" applyAlignment="1">
      <alignment horizontal="center"/>
    </xf>
    <xf numFmtId="1" fontId="12" fillId="17" borderId="16" xfId="0" applyNumberFormat="1" applyFont="1" applyFill="1" applyBorder="1" applyAlignment="1">
      <alignment horizontal="center"/>
    </xf>
    <xf numFmtId="1" fontId="12" fillId="17" borderId="20" xfId="0" applyNumberFormat="1" applyFont="1" applyFill="1" applyBorder="1" applyAlignment="1">
      <alignment horizontal="center"/>
    </xf>
    <xf numFmtId="1" fontId="12" fillId="17" borderId="4" xfId="0" applyNumberFormat="1" applyFont="1" applyFill="1" applyBorder="1" applyAlignment="1">
      <alignment horizontal="center"/>
    </xf>
    <xf numFmtId="1" fontId="12" fillId="17" borderId="6" xfId="0" applyNumberFormat="1" applyFont="1" applyFill="1" applyBorder="1" applyAlignment="1">
      <alignment horizontal="center"/>
    </xf>
    <xf numFmtId="0" fontId="0" fillId="17" borderId="10" xfId="0" applyFill="1" applyBorder="1" applyAlignment="1">
      <alignment horizontal="center"/>
    </xf>
    <xf numFmtId="0" fontId="0" fillId="14" borderId="7" xfId="0" applyFill="1" applyBorder="1"/>
    <xf numFmtId="0" fontId="0" fillId="14" borderId="5" xfId="0" applyFill="1" applyBorder="1" applyAlignment="1">
      <alignment vertical="center" wrapText="1"/>
    </xf>
    <xf numFmtId="0" fontId="0" fillId="17" borderId="11" xfId="0" applyFill="1" applyBorder="1" applyAlignment="1">
      <alignment horizontal="center" vertical="center"/>
    </xf>
    <xf numFmtId="165" fontId="0" fillId="17" borderId="11" xfId="0" applyNumberFormat="1" applyFill="1" applyBorder="1" applyAlignment="1">
      <alignment horizontal="center"/>
    </xf>
    <xf numFmtId="2" fontId="0" fillId="6" borderId="9" xfId="0" applyNumberFormat="1" applyFill="1" applyBorder="1" applyAlignment="1">
      <alignment horizontal="center"/>
    </xf>
    <xf numFmtId="165" fontId="0" fillId="6" borderId="14" xfId="0" applyNumberFormat="1" applyFill="1" applyBorder="1" applyAlignment="1">
      <alignment horizontal="center"/>
    </xf>
    <xf numFmtId="2" fontId="0" fillId="6" borderId="11" xfId="0" applyNumberFormat="1" applyFill="1" applyBorder="1" applyAlignment="1">
      <alignment horizontal="center"/>
    </xf>
    <xf numFmtId="165" fontId="0" fillId="6" borderId="8" xfId="0" applyNumberFormat="1" applyFill="1" applyBorder="1" applyAlignment="1">
      <alignment horizontal="center"/>
    </xf>
    <xf numFmtId="2" fontId="0" fillId="6" borderId="15" xfId="0" applyNumberFormat="1" applyFill="1" applyBorder="1" applyAlignment="1">
      <alignment horizontal="center"/>
    </xf>
    <xf numFmtId="165" fontId="0" fillId="6" borderId="19" xfId="0" applyNumberFormat="1" applyFill="1" applyBorder="1" applyAlignment="1">
      <alignment horizontal="center"/>
    </xf>
    <xf numFmtId="2" fontId="0" fillId="6" borderId="16" xfId="0" applyNumberFormat="1" applyFill="1" applyBorder="1" applyAlignment="1">
      <alignment horizontal="center"/>
    </xf>
    <xf numFmtId="165" fontId="0" fillId="6" borderId="20" xfId="0" applyNumberFormat="1" applyFill="1" applyBorder="1" applyAlignment="1">
      <alignment horizontal="center"/>
    </xf>
    <xf numFmtId="2" fontId="0" fillId="6" borderId="4" xfId="0" applyNumberFormat="1" applyFill="1" applyBorder="1" applyAlignment="1">
      <alignment horizontal="center"/>
    </xf>
    <xf numFmtId="165" fontId="0" fillId="6" borderId="6" xfId="0" applyNumberFormat="1" applyFill="1" applyBorder="1" applyAlignment="1">
      <alignment horizontal="center"/>
    </xf>
    <xf numFmtId="164" fontId="0" fillId="8" borderId="14" xfId="0" applyNumberFormat="1" applyFill="1" applyBorder="1" applyAlignment="1">
      <alignment horizontal="center"/>
    </xf>
    <xf numFmtId="0" fontId="0" fillId="0" borderId="3" xfId="0" applyBorder="1" applyAlignment="1">
      <alignment horizontal="center"/>
    </xf>
    <xf numFmtId="0" fontId="8" fillId="0" borderId="1" xfId="0" applyFont="1" applyBorder="1" applyAlignment="1">
      <alignment horizontal="center"/>
    </xf>
    <xf numFmtId="0" fontId="8" fillId="0" borderId="3" xfId="0" applyFont="1" applyBorder="1"/>
    <xf numFmtId="0" fontId="0" fillId="0" borderId="4" xfId="0" applyBorder="1" applyAlignment="1">
      <alignment horizontal="center"/>
    </xf>
    <xf numFmtId="0" fontId="14" fillId="17" borderId="0" xfId="0" applyFont="1" applyFill="1"/>
    <xf numFmtId="0" fontId="0" fillId="14" borderId="10" xfId="0" applyFill="1" applyBorder="1"/>
    <xf numFmtId="0" fontId="0" fillId="5" borderId="3" xfId="0" applyFill="1" applyBorder="1" applyAlignment="1">
      <alignment horizontal="center"/>
    </xf>
    <xf numFmtId="0" fontId="4" fillId="14" borderId="14" xfId="0" applyFont="1" applyFill="1" applyBorder="1"/>
    <xf numFmtId="0" fontId="4" fillId="14" borderId="8" xfId="0" applyFont="1" applyFill="1" applyBorder="1"/>
    <xf numFmtId="1" fontId="4" fillId="14" borderId="8" xfId="0" applyNumberFormat="1" applyFont="1" applyFill="1" applyBorder="1"/>
    <xf numFmtId="0" fontId="4" fillId="14" borderId="6" xfId="0" applyFont="1" applyFill="1" applyBorder="1"/>
    <xf numFmtId="0" fontId="0" fillId="14" borderId="6" xfId="0" applyFill="1" applyBorder="1"/>
    <xf numFmtId="0" fontId="18" fillId="14" borderId="0" xfId="0" applyFont="1" applyFill="1"/>
    <xf numFmtId="0" fontId="0" fillId="14" borderId="8" xfId="0" applyFill="1" applyBorder="1"/>
    <xf numFmtId="0" fontId="0" fillId="20" borderId="8" xfId="0" applyFill="1" applyBorder="1"/>
    <xf numFmtId="0" fontId="0" fillId="14" borderId="14" xfId="0" applyFill="1" applyBorder="1"/>
    <xf numFmtId="0" fontId="0" fillId="9" borderId="3" xfId="0" applyFill="1" applyBorder="1" applyAlignment="1">
      <alignment horizontal="center"/>
    </xf>
    <xf numFmtId="0" fontId="0" fillId="10" borderId="3" xfId="0" applyFill="1" applyBorder="1"/>
    <xf numFmtId="0" fontId="0" fillId="5" borderId="3" xfId="0" applyFill="1" applyBorder="1"/>
    <xf numFmtId="0" fontId="0" fillId="7" borderId="3" xfId="0" applyFill="1" applyBorder="1"/>
    <xf numFmtId="0" fontId="0" fillId="2" borderId="3" xfId="0" applyFill="1" applyBorder="1"/>
    <xf numFmtId="0" fontId="0" fillId="11" borderId="3" xfId="0" applyFill="1" applyBorder="1"/>
    <xf numFmtId="0" fontId="0" fillId="12" borderId="3" xfId="0" applyFill="1" applyBorder="1"/>
    <xf numFmtId="0" fontId="0" fillId="3" borderId="3" xfId="0" applyFill="1" applyBorder="1"/>
    <xf numFmtId="0" fontId="0" fillId="13" borderId="3" xfId="0" applyFill="1" applyBorder="1"/>
    <xf numFmtId="0" fontId="0" fillId="19" borderId="3" xfId="0" applyFill="1" applyBorder="1"/>
    <xf numFmtId="0" fontId="0" fillId="11" borderId="6" xfId="0" applyFill="1" applyBorder="1"/>
    <xf numFmtId="0" fontId="0" fillId="14" borderId="1" xfId="0" applyFill="1" applyBorder="1" applyAlignment="1">
      <alignment horizontal="center"/>
    </xf>
    <xf numFmtId="0" fontId="0" fillId="14" borderId="2" xfId="0" applyFill="1" applyBorder="1" applyAlignment="1">
      <alignment horizontal="center"/>
    </xf>
    <xf numFmtId="0" fontId="19" fillId="0" borderId="0" xfId="0" applyFont="1"/>
    <xf numFmtId="0" fontId="0" fillId="8" borderId="14" xfId="0" applyFill="1" applyBorder="1" applyAlignment="1">
      <alignment horizontal="center"/>
    </xf>
    <xf numFmtId="164" fontId="0" fillId="8" borderId="3" xfId="0" applyNumberFormat="1" applyFill="1" applyBorder="1" applyAlignment="1">
      <alignment horizontal="center"/>
    </xf>
    <xf numFmtId="164" fontId="0" fillId="14" borderId="0" xfId="0" applyNumberFormat="1" applyFill="1" applyAlignment="1">
      <alignment horizontal="center"/>
    </xf>
    <xf numFmtId="3" fontId="0" fillId="17" borderId="0" xfId="0" applyNumberFormat="1" applyFill="1"/>
    <xf numFmtId="165" fontId="0" fillId="17" borderId="0" xfId="0" applyNumberFormat="1" applyFill="1" applyAlignment="1">
      <alignment horizontal="center"/>
    </xf>
    <xf numFmtId="0" fontId="0" fillId="17" borderId="0" xfId="0" applyFill="1" applyAlignment="1">
      <alignment horizontal="right"/>
    </xf>
    <xf numFmtId="3" fontId="1" fillId="17" borderId="0" xfId="0" applyNumberFormat="1" applyFont="1" applyFill="1" applyAlignment="1">
      <alignment vertical="center"/>
    </xf>
    <xf numFmtId="2" fontId="0" fillId="17" borderId="0" xfId="0" applyNumberFormat="1" applyFill="1"/>
    <xf numFmtId="2" fontId="0" fillId="17" borderId="5" xfId="0" applyNumberFormat="1" applyFill="1" applyBorder="1"/>
    <xf numFmtId="164" fontId="0" fillId="14" borderId="10" xfId="0" applyNumberFormat="1" applyFill="1" applyBorder="1" applyAlignment="1">
      <alignment horizontal="center"/>
    </xf>
    <xf numFmtId="3" fontId="1" fillId="17" borderId="10" xfId="0" applyNumberFormat="1" applyFont="1" applyFill="1" applyBorder="1" applyAlignment="1">
      <alignment vertical="center"/>
    </xf>
    <xf numFmtId="2" fontId="0" fillId="17" borderId="10" xfId="0" applyNumberFormat="1" applyFill="1" applyBorder="1"/>
    <xf numFmtId="0" fontId="0" fillId="14" borderId="0" xfId="0" applyFill="1" applyAlignment="1">
      <alignment vertical="center" wrapText="1"/>
    </xf>
    <xf numFmtId="0" fontId="10" fillId="14" borderId="0" xfId="0" applyFont="1" applyFill="1" applyAlignment="1">
      <alignment vertical="center" wrapText="1"/>
    </xf>
    <xf numFmtId="0" fontId="0" fillId="14" borderId="0" xfId="0" quotePrefix="1" applyFill="1" applyAlignment="1">
      <alignment vertical="center"/>
    </xf>
    <xf numFmtId="0" fontId="0" fillId="14" borderId="0" xfId="0" applyFill="1" applyAlignment="1">
      <alignment vertical="center"/>
    </xf>
    <xf numFmtId="164" fontId="21" fillId="14" borderId="0" xfId="0" applyNumberFormat="1" applyFont="1" applyFill="1" applyAlignment="1">
      <alignment vertical="center" wrapText="1"/>
    </xf>
    <xf numFmtId="0" fontId="10" fillId="14" borderId="5" xfId="0" applyFont="1" applyFill="1" applyBorder="1" applyAlignment="1">
      <alignment vertical="center" wrapText="1"/>
    </xf>
    <xf numFmtId="0" fontId="16" fillId="14" borderId="0" xfId="0" applyFont="1" applyFill="1" applyAlignment="1">
      <alignment vertical="center" textRotation="90"/>
    </xf>
    <xf numFmtId="0" fontId="0" fillId="14" borderId="0" xfId="0" applyFill="1" applyAlignment="1">
      <alignment horizontal="left"/>
    </xf>
    <xf numFmtId="165" fontId="0" fillId="17" borderId="5" xfId="0" applyNumberFormat="1" applyFill="1" applyBorder="1"/>
    <xf numFmtId="165" fontId="0" fillId="17" borderId="0" xfId="0" applyNumberFormat="1" applyFill="1"/>
    <xf numFmtId="0" fontId="0" fillId="17" borderId="21" xfId="0" applyFill="1" applyBorder="1"/>
    <xf numFmtId="165" fontId="0" fillId="17" borderId="10" xfId="0" applyNumberFormat="1" applyFill="1" applyBorder="1"/>
    <xf numFmtId="0" fontId="0" fillId="20" borderId="14" xfId="0" applyFill="1" applyBorder="1"/>
    <xf numFmtId="0" fontId="0" fillId="20" borderId="6" xfId="0" applyFill="1" applyBorder="1"/>
    <xf numFmtId="0" fontId="20" fillId="14" borderId="11" xfId="0" applyFont="1" applyFill="1" applyBorder="1"/>
    <xf numFmtId="0" fontId="20" fillId="14" borderId="7" xfId="0" applyFont="1" applyFill="1" applyBorder="1"/>
    <xf numFmtId="0" fontId="20" fillId="14" borderId="4" xfId="0" applyFont="1" applyFill="1" applyBorder="1"/>
    <xf numFmtId="0" fontId="20" fillId="14" borderId="13" xfId="0" applyFont="1" applyFill="1" applyBorder="1"/>
    <xf numFmtId="0" fontId="9" fillId="14" borderId="0" xfId="0" applyFont="1" applyFill="1" applyAlignment="1">
      <alignment vertical="center" wrapText="1"/>
    </xf>
    <xf numFmtId="165" fontId="0" fillId="14" borderId="0" xfId="0" applyNumberFormat="1" applyFill="1" applyAlignment="1">
      <alignment horizontal="center"/>
    </xf>
    <xf numFmtId="164" fontId="0" fillId="8" borderId="6" xfId="0" applyNumberFormat="1" applyFill="1" applyBorder="1" applyAlignment="1">
      <alignment horizontal="center"/>
    </xf>
    <xf numFmtId="0" fontId="0" fillId="0" borderId="3" xfId="0" applyBorder="1" applyAlignment="1">
      <alignment horizontal="center" vertical="center"/>
    </xf>
    <xf numFmtId="164" fontId="0" fillId="14" borderId="3" xfId="0" applyNumberFormat="1" applyFill="1" applyBorder="1" applyAlignment="1">
      <alignment horizontal="center" vertical="center"/>
    </xf>
    <xf numFmtId="0" fontId="21" fillId="0" borderId="0" xfId="0" applyFont="1" applyAlignment="1">
      <alignment vertical="center" wrapText="1"/>
    </xf>
    <xf numFmtId="0" fontId="0" fillId="0" borderId="0" xfId="0" applyBorder="1"/>
    <xf numFmtId="0" fontId="15" fillId="0" borderId="0" xfId="0" applyFont="1" applyBorder="1"/>
    <xf numFmtId="0" fontId="0" fillId="17" borderId="0" xfId="0" applyFill="1" applyBorder="1"/>
    <xf numFmtId="0" fontId="14" fillId="17" borderId="0" xfId="0" applyFont="1" applyFill="1" applyBorder="1"/>
    <xf numFmtId="0" fontId="13" fillId="17" borderId="0" xfId="0" applyFont="1" applyFill="1" applyBorder="1"/>
    <xf numFmtId="0" fontId="14" fillId="17" borderId="0" xfId="0" applyFont="1" applyFill="1" applyBorder="1" applyAlignment="1">
      <alignment horizontal="center"/>
    </xf>
    <xf numFmtId="1" fontId="14" fillId="17" borderId="0" xfId="0" applyNumberFormat="1" applyFont="1" applyFill="1" applyBorder="1" applyAlignment="1">
      <alignment horizontal="center"/>
    </xf>
    <xf numFmtId="0" fontId="25" fillId="17" borderId="0" xfId="0" applyFont="1" applyFill="1" applyBorder="1"/>
    <xf numFmtId="0" fontId="1" fillId="17" borderId="0" xfId="0" applyFont="1" applyFill="1" applyBorder="1"/>
    <xf numFmtId="0" fontId="0" fillId="17" borderId="0" xfId="0" applyFont="1" applyFill="1" applyBorder="1"/>
    <xf numFmtId="0" fontId="0" fillId="17" borderId="0" xfId="0" applyFont="1" applyFill="1" applyBorder="1" applyAlignment="1">
      <alignment horizontal="left"/>
    </xf>
    <xf numFmtId="0" fontId="0" fillId="17" borderId="0" xfId="0" applyFont="1" applyFill="1" applyBorder="1" applyAlignment="1">
      <alignment horizontal="right" vertical="center"/>
    </xf>
    <xf numFmtId="0" fontId="0" fillId="17" borderId="0" xfId="0" applyFont="1" applyFill="1" applyBorder="1" applyAlignment="1">
      <alignment horizontal="left" vertical="center"/>
    </xf>
    <xf numFmtId="0" fontId="0" fillId="17" borderId="0" xfId="0" applyFont="1" applyFill="1" applyBorder="1" applyAlignment="1">
      <alignment horizontal="center" vertical="center"/>
    </xf>
    <xf numFmtId="1" fontId="0" fillId="17" borderId="0" xfId="0" applyNumberFormat="1" applyFont="1" applyFill="1" applyBorder="1" applyAlignment="1">
      <alignment horizontal="center"/>
    </xf>
    <xf numFmtId="0" fontId="29" fillId="17" borderId="0" xfId="0" applyFont="1" applyFill="1" applyBorder="1"/>
    <xf numFmtId="0" fontId="30" fillId="17" borderId="0" xfId="0" applyFont="1" applyFill="1" applyBorder="1" applyAlignment="1">
      <alignment horizontal="center"/>
    </xf>
    <xf numFmtId="0" fontId="31" fillId="17" borderId="0" xfId="0" applyFont="1" applyFill="1" applyBorder="1" applyAlignment="1">
      <alignment horizontal="center"/>
    </xf>
    <xf numFmtId="0" fontId="0" fillId="17" borderId="0" xfId="0" applyFont="1" applyFill="1" applyBorder="1" applyAlignment="1"/>
    <xf numFmtId="0" fontId="32" fillId="17" borderId="0" xfId="0" applyFont="1" applyFill="1" applyBorder="1" applyAlignment="1"/>
    <xf numFmtId="0" fontId="0" fillId="8" borderId="11" xfId="0" applyFill="1" applyBorder="1" applyAlignment="1">
      <alignment horizontal="center"/>
    </xf>
    <xf numFmtId="0" fontId="0" fillId="8" borderId="7" xfId="0" applyFill="1" applyBorder="1" applyAlignment="1">
      <alignment horizontal="center"/>
    </xf>
    <xf numFmtId="0" fontId="0" fillId="8" borderId="15" xfId="0" applyFill="1" applyBorder="1" applyAlignment="1">
      <alignment horizontal="center"/>
    </xf>
    <xf numFmtId="0" fontId="0" fillId="8" borderId="17" xfId="0" applyFill="1" applyBorder="1" applyAlignment="1">
      <alignment horizontal="center"/>
    </xf>
    <xf numFmtId="0" fontId="0" fillId="8" borderId="16" xfId="0" applyFill="1" applyBorder="1" applyAlignment="1">
      <alignment horizontal="center"/>
    </xf>
    <xf numFmtId="0" fontId="0" fillId="8" borderId="18" xfId="0" applyFill="1" applyBorder="1" applyAlignment="1">
      <alignment horizontal="center"/>
    </xf>
    <xf numFmtId="0" fontId="4" fillId="14" borderId="0" xfId="0" applyFont="1" applyFill="1" applyAlignment="1">
      <alignment horizontal="center"/>
    </xf>
    <xf numFmtId="0" fontId="0" fillId="8" borderId="4" xfId="0" applyFill="1" applyBorder="1" applyAlignment="1">
      <alignment horizontal="center"/>
    </xf>
    <xf numFmtId="0" fontId="0" fillId="8" borderId="13" xfId="0" applyFill="1" applyBorder="1" applyAlignment="1">
      <alignment horizontal="center"/>
    </xf>
    <xf numFmtId="0" fontId="16" fillId="18" borderId="14" xfId="0" applyFont="1" applyFill="1" applyBorder="1" applyAlignment="1">
      <alignment horizontal="center" vertical="center" textRotation="90"/>
    </xf>
    <xf numFmtId="0" fontId="16" fillId="18" borderId="8" xfId="0" applyFont="1" applyFill="1" applyBorder="1" applyAlignment="1">
      <alignment horizontal="center" vertical="center" textRotation="90"/>
    </xf>
    <xf numFmtId="0" fontId="16" fillId="18" borderId="6" xfId="0" applyFont="1" applyFill="1" applyBorder="1" applyAlignment="1">
      <alignment horizontal="center" vertical="center" textRotation="90"/>
    </xf>
    <xf numFmtId="0" fontId="0" fillId="8" borderId="9" xfId="0" applyFill="1" applyBorder="1" applyAlignment="1">
      <alignment horizontal="center"/>
    </xf>
    <xf numFmtId="0" fontId="0" fillId="8" borderId="12" xfId="0" applyFill="1" applyBorder="1" applyAlignment="1">
      <alignment horizontal="center"/>
    </xf>
    <xf numFmtId="0" fontId="11" fillId="17" borderId="0" xfId="0" applyFont="1" applyFill="1" applyAlignment="1">
      <alignment horizontal="center"/>
    </xf>
    <xf numFmtId="0" fontId="0" fillId="0" borderId="14" xfId="0" applyBorder="1" applyAlignment="1">
      <alignment horizontal="center" vertical="center"/>
    </xf>
    <xf numFmtId="0" fontId="0" fillId="0" borderId="6" xfId="0" applyBorder="1" applyAlignment="1">
      <alignment horizontal="center" vertical="center"/>
    </xf>
    <xf numFmtId="0" fontId="16" fillId="18" borderId="9" xfId="0" applyFont="1" applyFill="1" applyBorder="1" applyAlignment="1">
      <alignment horizontal="center" vertical="center" textRotation="90"/>
    </xf>
    <xf numFmtId="0" fontId="16" fillId="18" borderId="11" xfId="0" applyFont="1" applyFill="1" applyBorder="1" applyAlignment="1">
      <alignment horizontal="center" vertical="center" textRotation="90"/>
    </xf>
    <xf numFmtId="0" fontId="16" fillId="18" borderId="4" xfId="0" applyFont="1" applyFill="1" applyBorder="1" applyAlignment="1">
      <alignment horizontal="center" vertical="center" textRotation="90"/>
    </xf>
    <xf numFmtId="0" fontId="11" fillId="14" borderId="9" xfId="0" applyFont="1" applyFill="1" applyBorder="1" applyAlignment="1">
      <alignment horizontal="center" wrapText="1"/>
    </xf>
    <xf numFmtId="0" fontId="11" fillId="14" borderId="12" xfId="0" applyFont="1" applyFill="1" applyBorder="1" applyAlignment="1">
      <alignment horizontal="center" wrapText="1"/>
    </xf>
    <xf numFmtId="0" fontId="11" fillId="14" borderId="4" xfId="0" applyFont="1" applyFill="1" applyBorder="1" applyAlignment="1">
      <alignment horizontal="center" wrapText="1"/>
    </xf>
    <xf numFmtId="0" fontId="11" fillId="14" borderId="13" xfId="0" applyFont="1" applyFill="1" applyBorder="1" applyAlignment="1">
      <alignment horizontal="center" wrapText="1"/>
    </xf>
    <xf numFmtId="0" fontId="11" fillId="17" borderId="9" xfId="0" applyFont="1" applyFill="1" applyBorder="1" applyAlignment="1">
      <alignment horizontal="center" wrapText="1"/>
    </xf>
    <xf numFmtId="0" fontId="11" fillId="17" borderId="12" xfId="0" applyFont="1" applyFill="1" applyBorder="1" applyAlignment="1">
      <alignment horizontal="center" wrapText="1"/>
    </xf>
    <xf numFmtId="0" fontId="11" fillId="17" borderId="4" xfId="0" applyFont="1" applyFill="1" applyBorder="1" applyAlignment="1">
      <alignment horizontal="center" wrapText="1"/>
    </xf>
    <xf numFmtId="0" fontId="11" fillId="17" borderId="13" xfId="0" applyFont="1" applyFill="1" applyBorder="1" applyAlignment="1">
      <alignment horizontal="center" wrapText="1"/>
    </xf>
    <xf numFmtId="0" fontId="0" fillId="8" borderId="9" xfId="0" applyFill="1" applyBorder="1" applyAlignment="1">
      <alignment horizontal="center" vertical="center" wrapText="1"/>
    </xf>
    <xf numFmtId="0" fontId="0" fillId="8" borderId="12" xfId="0" applyFill="1" applyBorder="1" applyAlignment="1">
      <alignment horizontal="center" vertical="center" wrapText="1"/>
    </xf>
    <xf numFmtId="0" fontId="0" fillId="8" borderId="4" xfId="0" applyFill="1" applyBorder="1" applyAlignment="1">
      <alignment horizontal="center" vertical="center" wrapText="1"/>
    </xf>
    <xf numFmtId="0" fontId="0" fillId="8" borderId="13" xfId="0" applyFill="1" applyBorder="1" applyAlignment="1">
      <alignment horizontal="center" vertical="center" wrapText="1"/>
    </xf>
    <xf numFmtId="164" fontId="0" fillId="8" borderId="14"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21" fillId="14" borderId="9" xfId="0" applyNumberFormat="1" applyFont="1" applyFill="1" applyBorder="1" applyAlignment="1">
      <alignment horizontal="center" vertical="center" wrapText="1"/>
    </xf>
    <xf numFmtId="164" fontId="21" fillId="14" borderId="10" xfId="0" applyNumberFormat="1" applyFont="1" applyFill="1" applyBorder="1" applyAlignment="1">
      <alignment horizontal="center" vertical="center" wrapText="1"/>
    </xf>
    <xf numFmtId="164" fontId="21" fillId="14" borderId="11" xfId="0" applyNumberFormat="1" applyFont="1" applyFill="1" applyBorder="1" applyAlignment="1">
      <alignment horizontal="center" vertical="center" wrapText="1"/>
    </xf>
    <xf numFmtId="164" fontId="21" fillId="14" borderId="0" xfId="0" applyNumberFormat="1" applyFont="1" applyFill="1" applyAlignment="1">
      <alignment horizontal="center" vertical="center" wrapText="1"/>
    </xf>
    <xf numFmtId="164" fontId="21" fillId="14" borderId="4" xfId="0" applyNumberFormat="1" applyFont="1" applyFill="1" applyBorder="1" applyAlignment="1">
      <alignment horizontal="center" vertical="center" wrapText="1"/>
    </xf>
    <xf numFmtId="164" fontId="21" fillId="14" borderId="5" xfId="0" applyNumberFormat="1" applyFont="1" applyFill="1" applyBorder="1" applyAlignment="1">
      <alignment horizontal="center" vertical="center" wrapText="1"/>
    </xf>
    <xf numFmtId="0" fontId="0" fillId="14" borderId="9" xfId="0" applyFill="1" applyBorder="1" applyAlignment="1">
      <alignment horizontal="left" vertical="center" wrapText="1"/>
    </xf>
    <xf numFmtId="0" fontId="0" fillId="14" borderId="10" xfId="0" applyFill="1" applyBorder="1" applyAlignment="1">
      <alignment horizontal="left" vertical="center" wrapText="1"/>
    </xf>
    <xf numFmtId="0" fontId="0" fillId="14" borderId="4" xfId="0" applyFill="1" applyBorder="1" applyAlignment="1">
      <alignment horizontal="left" vertical="center" wrapText="1"/>
    </xf>
    <xf numFmtId="0" fontId="0" fillId="14" borderId="5" xfId="0" applyFill="1" applyBorder="1" applyAlignment="1">
      <alignment horizontal="left" vertical="center" wrapText="1"/>
    </xf>
    <xf numFmtId="0" fontId="11" fillId="14" borderId="1" xfId="0" applyFont="1" applyFill="1" applyBorder="1" applyAlignment="1">
      <alignment horizontal="center"/>
    </xf>
    <xf numFmtId="0" fontId="11" fillId="14" borderId="2" xfId="0" applyFont="1" applyFill="1" applyBorder="1" applyAlignment="1">
      <alignment horizontal="center"/>
    </xf>
    <xf numFmtId="0" fontId="1" fillId="14" borderId="9" xfId="0" applyFont="1" applyFill="1" applyBorder="1" applyAlignment="1">
      <alignment horizontal="center"/>
    </xf>
    <xf numFmtId="0" fontId="0" fillId="14" borderId="10" xfId="0" applyFill="1" applyBorder="1" applyAlignment="1">
      <alignment horizontal="center"/>
    </xf>
    <xf numFmtId="0" fontId="0" fillId="14" borderId="9" xfId="0" applyFill="1" applyBorder="1" applyAlignment="1">
      <alignment horizontal="left"/>
    </xf>
    <xf numFmtId="0" fontId="0" fillId="14" borderId="10" xfId="0" applyFill="1" applyBorder="1" applyAlignment="1">
      <alignment horizontal="left"/>
    </xf>
    <xf numFmtId="0" fontId="0" fillId="15" borderId="1" xfId="0" applyFill="1" applyBorder="1" applyAlignment="1">
      <alignment horizontal="left"/>
    </xf>
    <xf numFmtId="0" fontId="0" fillId="15" borderId="2" xfId="0" applyFill="1" applyBorder="1" applyAlignment="1">
      <alignment horizontal="left"/>
    </xf>
    <xf numFmtId="0" fontId="0" fillId="16" borderId="1" xfId="0" applyFill="1" applyBorder="1" applyAlignment="1">
      <alignment horizontal="left"/>
    </xf>
    <xf numFmtId="0" fontId="0" fillId="16" borderId="2" xfId="0" applyFill="1" applyBorder="1" applyAlignment="1">
      <alignment horizontal="left"/>
    </xf>
    <xf numFmtId="0" fontId="0" fillId="8" borderId="1" xfId="0" applyFill="1" applyBorder="1" applyAlignment="1">
      <alignment horizontal="center"/>
    </xf>
    <xf numFmtId="0" fontId="1" fillId="8" borderId="21" xfId="0" applyFont="1" applyFill="1" applyBorder="1" applyAlignment="1">
      <alignment horizontal="center"/>
    </xf>
    <xf numFmtId="0" fontId="0" fillId="8" borderId="5" xfId="0" applyFill="1" applyBorder="1" applyAlignment="1">
      <alignment horizontal="center"/>
    </xf>
    <xf numFmtId="0" fontId="24" fillId="17" borderId="9" xfId="0" applyFont="1" applyFill="1" applyBorder="1" applyAlignment="1">
      <alignment horizontal="center" vertical="center" wrapText="1"/>
    </xf>
    <xf numFmtId="0" fontId="24" fillId="17" borderId="10" xfId="0" applyFont="1" applyFill="1" applyBorder="1" applyAlignment="1">
      <alignment horizontal="center" vertical="center" wrapText="1"/>
    </xf>
    <xf numFmtId="0" fontId="24" fillId="17" borderId="11" xfId="0" applyFont="1" applyFill="1" applyBorder="1" applyAlignment="1">
      <alignment horizontal="center" vertical="center" wrapText="1"/>
    </xf>
    <xf numFmtId="0" fontId="24" fillId="17" borderId="0" xfId="0" applyFont="1" applyFill="1" applyBorder="1" applyAlignment="1">
      <alignment horizontal="center" vertical="center" wrapText="1"/>
    </xf>
    <xf numFmtId="0" fontId="24" fillId="17" borderId="4" xfId="0" applyFont="1" applyFill="1" applyBorder="1" applyAlignment="1">
      <alignment horizontal="center" vertical="center" wrapText="1"/>
    </xf>
    <xf numFmtId="0" fontId="24" fillId="17" borderId="5" xfId="0" applyFont="1" applyFill="1" applyBorder="1" applyAlignment="1">
      <alignment horizontal="center" vertical="center" wrapText="1"/>
    </xf>
    <xf numFmtId="0" fontId="17" fillId="17" borderId="0" xfId="0" applyFont="1" applyFill="1" applyAlignment="1">
      <alignment horizontal="right"/>
    </xf>
    <xf numFmtId="0" fontId="0" fillId="17" borderId="0" xfId="0" applyFont="1" applyFill="1" applyBorder="1" applyAlignment="1">
      <alignment horizontal="center"/>
    </xf>
    <xf numFmtId="0" fontId="27" fillId="17" borderId="0" xfId="0" applyFont="1" applyFill="1" applyBorder="1" applyAlignment="1">
      <alignment horizontal="left"/>
    </xf>
    <xf numFmtId="0" fontId="1" fillId="17" borderId="0" xfId="0" applyFont="1" applyFill="1" applyBorder="1" applyAlignment="1">
      <alignment horizontal="left"/>
    </xf>
    <xf numFmtId="0" fontId="27" fillId="17" borderId="0" xfId="0" applyFont="1" applyFill="1" applyBorder="1" applyAlignment="1">
      <alignment horizontal="center"/>
    </xf>
    <xf numFmtId="0" fontId="17" fillId="17" borderId="0" xfId="0" applyFont="1" applyFill="1" applyBorder="1" applyAlignment="1">
      <alignment horizontal="right"/>
    </xf>
    <xf numFmtId="0" fontId="0" fillId="17" borderId="0" xfId="0" applyFont="1" applyFill="1" applyBorder="1" applyAlignment="1">
      <alignment horizontal="left"/>
    </xf>
    <xf numFmtId="0" fontId="26" fillId="17" borderId="0" xfId="0" applyFont="1" applyFill="1" applyBorder="1" applyAlignment="1">
      <alignment horizontal="left" vertical="top" wrapText="1"/>
    </xf>
    <xf numFmtId="0" fontId="31" fillId="17" borderId="0" xfId="0" applyFont="1" applyFill="1" applyBorder="1" applyAlignment="1">
      <alignment horizontal="center"/>
    </xf>
    <xf numFmtId="0" fontId="30" fillId="17" borderId="0" xfId="0" applyFont="1" applyFill="1" applyBorder="1" applyAlignment="1">
      <alignment horizontal="center"/>
    </xf>
    <xf numFmtId="0" fontId="0" fillId="17" borderId="0" xfId="0" applyFont="1" applyFill="1" applyBorder="1" applyAlignment="1">
      <alignment horizontal="center" vertical="center"/>
    </xf>
    <xf numFmtId="0" fontId="32" fillId="17" borderId="0" xfId="0" applyFont="1" applyFill="1" applyBorder="1" applyAlignment="1">
      <alignment horizontal="left"/>
    </xf>
    <xf numFmtId="0" fontId="0" fillId="17" borderId="0" xfId="0" applyFont="1" applyFill="1" applyBorder="1" applyAlignment="1">
      <alignment horizontal="left" vertical="center" wrapText="1"/>
    </xf>
    <xf numFmtId="0" fontId="5" fillId="4" borderId="0" xfId="0" applyFont="1" applyFill="1" applyAlignment="1">
      <alignment horizontal="center"/>
    </xf>
    <xf numFmtId="0" fontId="5" fillId="8" borderId="0" xfId="0" applyFont="1" applyFill="1" applyAlignment="1">
      <alignment horizontal="center"/>
    </xf>
  </cellXfs>
  <cellStyles count="1">
    <cellStyle name="Standard" xfId="0" builtinId="0"/>
  </cellStyles>
  <dxfs count="0"/>
  <tableStyles count="0" defaultTableStyle="TableStyleMedium2" defaultPivotStyle="PivotStyleLight16"/>
  <colors>
    <mruColors>
      <color rgb="FF173561"/>
      <color rgb="FFFFA3A3"/>
      <color rgb="FF29A992"/>
      <color rgb="FFC7A1E3"/>
      <color rgb="FFEED17E"/>
      <color rgb="FFFFFF99"/>
      <color rgb="FFBF9393"/>
      <color rgb="FFF5F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A$54"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441663</xdr:colOff>
      <xdr:row>4</xdr:row>
      <xdr:rowOff>1355</xdr:rowOff>
    </xdr:from>
    <xdr:to>
      <xdr:col>15</xdr:col>
      <xdr:colOff>6</xdr:colOff>
      <xdr:row>15</xdr:row>
      <xdr:rowOff>1658</xdr:rowOff>
    </xdr:to>
    <xdr:pic>
      <xdr:nvPicPr>
        <xdr:cNvPr id="2" name="Grafik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633" b="1112"/>
        <a:stretch/>
      </xdr:blipFill>
      <xdr:spPr bwMode="auto">
        <a:xfrm>
          <a:off x="7998163" y="731605"/>
          <a:ext cx="3188426" cy="211697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55495</xdr:colOff>
      <xdr:row>20</xdr:row>
      <xdr:rowOff>58797</xdr:rowOff>
    </xdr:from>
    <xdr:to>
      <xdr:col>9</xdr:col>
      <xdr:colOff>31611</xdr:colOff>
      <xdr:row>26</xdr:row>
      <xdr:rowOff>135644</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760845" y="3868797"/>
          <a:ext cx="1976366" cy="1162697"/>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9525</xdr:colOff>
          <xdr:row>4</xdr:row>
          <xdr:rowOff>133350</xdr:rowOff>
        </xdr:from>
        <xdr:to>
          <xdr:col>10</xdr:col>
          <xdr:colOff>76200</xdr:colOff>
          <xdr:row>6</xdr:row>
          <xdr:rowOff>57150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ptos Narrow"/>
                </a:rPr>
                <a:t>Dateneingabe Gebiet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13</xdr:row>
          <xdr:rowOff>95250</xdr:rowOff>
        </xdr:from>
        <xdr:to>
          <xdr:col>5</xdr:col>
          <xdr:colOff>352425</xdr:colOff>
          <xdr:row>14</xdr:row>
          <xdr:rowOff>85725</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Mittelsand</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47625</xdr:rowOff>
        </xdr:from>
        <xdr:to>
          <xdr:col>10</xdr:col>
          <xdr:colOff>66675</xdr:colOff>
          <xdr:row>14</xdr:row>
          <xdr:rowOff>142875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ptos Narrow"/>
                </a:rPr>
                <a:t>Berechnen</a:t>
              </a:r>
            </a:p>
          </xdr:txBody>
        </xdr:sp>
        <xdr:clientData fPrintsWithSheet="0"/>
      </xdr:twoCellAnchor>
    </mc:Choice>
    <mc:Fallback/>
  </mc:AlternateContent>
  <xdr:twoCellAnchor editAs="oneCell">
    <xdr:from>
      <xdr:col>12</xdr:col>
      <xdr:colOff>395496</xdr:colOff>
      <xdr:row>0</xdr:row>
      <xdr:rowOff>148641</xdr:rowOff>
    </xdr:from>
    <xdr:to>
      <xdr:col>15</xdr:col>
      <xdr:colOff>210556</xdr:colOff>
      <xdr:row>4</xdr:row>
      <xdr:rowOff>90560</xdr:rowOff>
    </xdr:to>
    <xdr:pic>
      <xdr:nvPicPr>
        <xdr:cNvPr id="11" name="Grafik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xdr:blipFill>
      <xdr:spPr bwMode="auto">
        <a:xfrm>
          <a:off x="8148018" y="148641"/>
          <a:ext cx="2324690" cy="679071"/>
        </a:xfrm>
        <a:prstGeom prst="rect">
          <a:avLst/>
        </a:prstGeom>
      </xdr:spPr>
    </xdr:pic>
    <xdr:clientData/>
  </xdr:twoCellAnchor>
  <xdr:twoCellAnchor editAs="oneCell">
    <xdr:from>
      <xdr:col>1</xdr:col>
      <xdr:colOff>4306</xdr:colOff>
      <xdr:row>1</xdr:row>
      <xdr:rowOff>33343</xdr:rowOff>
    </xdr:from>
    <xdr:to>
      <xdr:col>3</xdr:col>
      <xdr:colOff>356153</xdr:colOff>
      <xdr:row>3</xdr:row>
      <xdr:rowOff>170062</xdr:rowOff>
    </xdr:to>
    <xdr:pic>
      <xdr:nvPicPr>
        <xdr:cNvPr id="12" name="Grafik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l="16736" t="39416" r="16736" b="39417"/>
        <a:stretch/>
      </xdr:blipFill>
      <xdr:spPr bwMode="auto">
        <a:xfrm>
          <a:off x="840849" y="215560"/>
          <a:ext cx="1610803" cy="501154"/>
        </a:xfrm>
        <a:prstGeom prst="rect">
          <a:avLst/>
        </a:prstGeom>
      </xdr:spPr>
    </xdr:pic>
    <xdr:clientData/>
  </xdr:twoCellAnchor>
  <xdr:twoCellAnchor>
    <xdr:from>
      <xdr:col>6</xdr:col>
      <xdr:colOff>70402</xdr:colOff>
      <xdr:row>22</xdr:row>
      <xdr:rowOff>132888</xdr:rowOff>
    </xdr:from>
    <xdr:to>
      <xdr:col>6</xdr:col>
      <xdr:colOff>263866</xdr:colOff>
      <xdr:row>23</xdr:row>
      <xdr:rowOff>151753</xdr:rowOff>
    </xdr:to>
    <xdr:sp macro="" textlink="">
      <xdr:nvSpPr>
        <xdr:cNvPr id="6" name="Pfeil: nach rechts 5">
          <a:extLst>
            <a:ext uri="{FF2B5EF4-FFF2-40B4-BE49-F238E27FC236}">
              <a16:creationId xmlns:a16="http://schemas.microsoft.com/office/drawing/2014/main" id="{00000000-0008-0000-0000-000006000000}"/>
            </a:ext>
          </a:extLst>
        </xdr:cNvPr>
        <xdr:cNvSpPr/>
      </xdr:nvSpPr>
      <xdr:spPr>
        <a:xfrm>
          <a:off x="4480477" y="4304838"/>
          <a:ext cx="193464" cy="19984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131239</xdr:colOff>
      <xdr:row>22</xdr:row>
      <xdr:rowOff>137850</xdr:rowOff>
    </xdr:from>
    <xdr:to>
      <xdr:col>9</xdr:col>
      <xdr:colOff>332323</xdr:colOff>
      <xdr:row>23</xdr:row>
      <xdr:rowOff>156715</xdr:rowOff>
    </xdr:to>
    <xdr:sp macro="" textlink="">
      <xdr:nvSpPr>
        <xdr:cNvPr id="14" name="Pfeil: nach rechts 13">
          <a:extLst>
            <a:ext uri="{FF2B5EF4-FFF2-40B4-BE49-F238E27FC236}">
              <a16:creationId xmlns:a16="http://schemas.microsoft.com/office/drawing/2014/main" id="{00000000-0008-0000-0000-00000E000000}"/>
            </a:ext>
          </a:extLst>
        </xdr:cNvPr>
        <xdr:cNvSpPr/>
      </xdr:nvSpPr>
      <xdr:spPr>
        <a:xfrm>
          <a:off x="6836839" y="4309800"/>
          <a:ext cx="201084" cy="19984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xdr:from>
          <xdr:col>8</xdr:col>
          <xdr:colOff>19050</xdr:colOff>
          <xdr:row>8</xdr:row>
          <xdr:rowOff>171450</xdr:rowOff>
        </xdr:from>
        <xdr:to>
          <xdr:col>10</xdr:col>
          <xdr:colOff>66675</xdr:colOff>
          <xdr:row>12</xdr:row>
          <xdr:rowOff>9525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ptos Narrow"/>
                </a:rPr>
                <a:t>Dateneingabe </a:t>
              </a:r>
            </a:p>
            <a:p>
              <a:pPr algn="ctr" rtl="0">
                <a:defRPr sz="1000"/>
              </a:pPr>
              <a:r>
                <a:rPr lang="de-DE" sz="1100" b="0" i="0" u="none" strike="noStrike" baseline="0">
                  <a:solidFill>
                    <a:srgbClr val="000000"/>
                  </a:solidFill>
                  <a:latin typeface="Aptos Narrow"/>
                </a:rPr>
                <a:t>Potenzial RWBA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134468</xdr:colOff>
      <xdr:row>0</xdr:row>
      <xdr:rowOff>0</xdr:rowOff>
    </xdr:from>
    <xdr:to>
      <xdr:col>11</xdr:col>
      <xdr:colOff>115216</xdr:colOff>
      <xdr:row>2</xdr:row>
      <xdr:rowOff>165240</xdr:rowOff>
    </xdr:to>
    <xdr:pic>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t="9662"/>
        <a:stretch/>
      </xdr:blipFill>
      <xdr:spPr bwMode="auto">
        <a:xfrm>
          <a:off x="4448733" y="0"/>
          <a:ext cx="2245617" cy="523828"/>
        </a:xfrm>
        <a:prstGeom prst="rect">
          <a:avLst/>
        </a:prstGeom>
      </xdr:spPr>
    </xdr:pic>
    <xdr:clientData/>
  </xdr:twoCellAnchor>
  <xdr:twoCellAnchor editAs="oneCell">
    <xdr:from>
      <xdr:col>2</xdr:col>
      <xdr:colOff>33618</xdr:colOff>
      <xdr:row>0</xdr:row>
      <xdr:rowOff>6513</xdr:rowOff>
    </xdr:from>
    <xdr:to>
      <xdr:col>3</xdr:col>
      <xdr:colOff>226358</xdr:colOff>
      <xdr:row>2</xdr:row>
      <xdr:rowOff>89647</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l="16736" t="39416" r="16736" b="39417"/>
        <a:stretch/>
      </xdr:blipFill>
      <xdr:spPr bwMode="auto">
        <a:xfrm>
          <a:off x="437030" y="6513"/>
          <a:ext cx="1425387" cy="441722"/>
        </a:xfrm>
        <a:prstGeom prst="rect">
          <a:avLst/>
        </a:prstGeom>
      </xdr:spPr>
    </xdr:pic>
    <xdr:clientData/>
  </xdr:twoCellAnchor>
  <xdr:twoCellAnchor>
    <xdr:from>
      <xdr:col>1</xdr:col>
      <xdr:colOff>145675</xdr:colOff>
      <xdr:row>6</xdr:row>
      <xdr:rowOff>67234</xdr:rowOff>
    </xdr:from>
    <xdr:to>
      <xdr:col>10</xdr:col>
      <xdr:colOff>313764</xdr:colOff>
      <xdr:row>27</xdr:row>
      <xdr:rowOff>22411</xdr:rowOff>
    </xdr:to>
    <xdr:sp macro="" textlink="">
      <xdr:nvSpPr>
        <xdr:cNvPr id="4" name="Textfeld 3">
          <a:extLst>
            <a:ext uri="{FF2B5EF4-FFF2-40B4-BE49-F238E27FC236}">
              <a16:creationId xmlns:a16="http://schemas.microsoft.com/office/drawing/2014/main" id="{00000000-0008-0000-0100-000004000000}"/>
            </a:ext>
          </a:extLst>
        </xdr:cNvPr>
        <xdr:cNvSpPr txBox="1"/>
      </xdr:nvSpPr>
      <xdr:spPr>
        <a:xfrm>
          <a:off x="347381" y="1098175"/>
          <a:ext cx="6208059" cy="37203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solidFill>
                <a:schemeClr val="dk1"/>
              </a:solidFill>
              <a:effectLst/>
              <a:latin typeface="+mn-lt"/>
              <a:ea typeface="+mn-ea"/>
              <a:cs typeface="+mn-cs"/>
            </a:rPr>
            <a:t>Mit Hilfe des RWB+ Tools kann der Nutzer eine Schätzung der überflutungsmindernden Wirkung von Regenwasserbewirtschaftungsanlagen (RWBA) in seinem eigenen Einzugsgebiet (EZG) erhalten. Dabei ist einschränkend zu erwähnen, dass die Schätzung auf detaillierten Simulationsergebnissen aus drei flachen Berliner Untersuchungsgebieten basiert. Die Eignung des Tools für topografisch steile Gebiete wurde nicht validiert.</a:t>
          </a:r>
        </a:p>
        <a:p>
          <a:r>
            <a:rPr lang="de-DE" sz="1100">
              <a:solidFill>
                <a:schemeClr val="dk1"/>
              </a:solidFill>
              <a:effectLst/>
              <a:latin typeface="+mn-lt"/>
              <a:ea typeface="+mn-ea"/>
              <a:cs typeface="+mn-cs"/>
            </a:rPr>
            <a:t>Als Eingangsdaten müssen die Gesamtgebietsgröße und die Größe der Dachfläche des EZG bekannt sein. Des Weiteren muss der Nutzer Angaben zum Umsetzungspotenzial von RWBA machen: Wie viel versickerungsfähige Grünfläche ist im EZG vorhanden, die für Versickerungsanlagen verwendet werden kann? Wie viel Dachfläche kann zu Gründächern umgerüstet werden oder an Zisternen angeschlossen werden? Aus dem Umsetzungspotenzial wird die bewirtschaftbare Dachfläche in Bezug auf die Gesamtfläche des EZG berechnet und als Bewirtschaftungsanteil in Prozent angegeben. Dieser Bewirtschaftungsanteil ist auf 39 % begrenzt. Bei höheren Anteilen wird der Wert N/A ausgegeben und die Dateneingabe Potenzial RWBA muss verringert werden. Es können nur Dachflächen bewirtschaftet werden und es ist keine Kombination verschiedener Anlagentypen möglich!</a:t>
          </a:r>
        </a:p>
        <a:p>
          <a:r>
            <a:rPr lang="de-DE" sz="1100">
              <a:solidFill>
                <a:schemeClr val="dk1"/>
              </a:solidFill>
              <a:effectLst/>
              <a:latin typeface="+mn-lt"/>
              <a:ea typeface="+mn-ea"/>
              <a:cs typeface="+mn-cs"/>
            </a:rPr>
            <a:t>Als Ergebnisse erhält man eine Schätzung über die prozentuale Reduzierung des Überflutungsvolumens durch die RWBA bei einem Niederschlagsereignis mit einer Niederschlagshöhe h</a:t>
          </a:r>
          <a:r>
            <a:rPr lang="de-DE" sz="1100" baseline="-25000">
              <a:solidFill>
                <a:schemeClr val="dk1"/>
              </a:solidFill>
              <a:effectLst/>
              <a:latin typeface="+mn-lt"/>
              <a:ea typeface="+mn-ea"/>
              <a:cs typeface="+mn-cs"/>
            </a:rPr>
            <a:t>N</a:t>
          </a:r>
          <a:r>
            <a:rPr lang="de-DE" sz="1100">
              <a:solidFill>
                <a:schemeClr val="dk1"/>
              </a:solidFill>
              <a:effectLst/>
              <a:latin typeface="+mn-lt"/>
              <a:ea typeface="+mn-ea"/>
              <a:cs typeface="+mn-cs"/>
            </a:rPr>
            <a:t> = 48,9 mm (T = 100 a) und einem Ereignis mit h</a:t>
          </a:r>
          <a:r>
            <a:rPr lang="de-DE" sz="1100" baseline="-25000">
              <a:solidFill>
                <a:schemeClr val="dk1"/>
              </a:solidFill>
              <a:effectLst/>
              <a:latin typeface="+mn-lt"/>
              <a:ea typeface="+mn-ea"/>
              <a:cs typeface="+mn-cs"/>
            </a:rPr>
            <a:t>N</a:t>
          </a:r>
          <a:r>
            <a:rPr lang="de-DE" sz="1100">
              <a:solidFill>
                <a:schemeClr val="dk1"/>
              </a:solidFill>
              <a:effectLst/>
              <a:latin typeface="+mn-lt"/>
              <a:ea typeface="+mn-ea"/>
              <a:cs typeface="+mn-cs"/>
            </a:rPr>
            <a:t> = 100 mm. Zusätzlich ist der überflutungsmindernde Effekt der verschiedenen RWBA im relativen Vergleich zueinander gebietsunabhängig gültig: Mit der Anwendung des Tools kann eine erste Vorauswahl und Priorisierung von RWBA zur Starkregenvorsorge erfolgen, wobei die unterschiedliche Flächenverfügbarkeit für die Umsetzung der Anlagen berücksichtigt wird.</a:t>
          </a: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187A6-DBDE-4EBE-ABC8-209F2AB3FA62}">
  <sheetPr codeName="Tabelle1">
    <pageSetUpPr fitToPage="1"/>
  </sheetPr>
  <dimension ref="A1:U54"/>
  <sheetViews>
    <sheetView tabSelected="1" zoomScaleNormal="100" workbookViewId="0">
      <selection activeCell="I34" sqref="I34"/>
    </sheetView>
  </sheetViews>
  <sheetFormatPr baseColWidth="10" defaultRowHeight="14.25"/>
  <cols>
    <col min="1" max="1" width="8.375" customWidth="1"/>
    <col min="2" max="2" width="5.5" customWidth="1"/>
    <col min="7" max="7" width="3.875" customWidth="1"/>
    <col min="8" max="8" width="12.375" customWidth="1"/>
    <col min="9" max="9" width="13.875" customWidth="1"/>
    <col min="10" max="10" width="5.75" customWidth="1"/>
    <col min="11" max="11" width="5.5" customWidth="1"/>
    <col min="13" max="13" width="12.5" customWidth="1"/>
    <col min="14" max="14" width="12" customWidth="1"/>
    <col min="15" max="15" width="12.25" customWidth="1"/>
    <col min="17" max="17" width="14.5" customWidth="1"/>
    <col min="20" max="20" width="3.5" customWidth="1"/>
  </cols>
  <sheetData>
    <row r="1" spans="1:21">
      <c r="A1" s="10"/>
      <c r="B1" s="10"/>
      <c r="C1" s="10"/>
      <c r="D1" s="10"/>
      <c r="E1" s="10"/>
      <c r="F1" s="10"/>
      <c r="G1" s="10"/>
      <c r="H1" s="10"/>
      <c r="I1" s="10"/>
      <c r="J1" s="10"/>
      <c r="K1" s="10"/>
      <c r="L1" s="10"/>
      <c r="M1" s="10"/>
      <c r="N1" s="10"/>
      <c r="O1" s="10"/>
      <c r="P1" s="10"/>
      <c r="Q1" s="10"/>
      <c r="R1" s="10"/>
      <c r="S1" s="10"/>
      <c r="T1" s="10"/>
      <c r="U1" s="10"/>
    </row>
    <row r="2" spans="1:21">
      <c r="A2" s="10"/>
      <c r="B2" s="10"/>
      <c r="C2" s="10"/>
      <c r="D2" s="10"/>
      <c r="E2" s="10"/>
      <c r="F2" s="10"/>
      <c r="G2" s="10"/>
      <c r="H2" s="10"/>
      <c r="I2" s="10"/>
      <c r="J2" s="10"/>
      <c r="K2" s="10"/>
      <c r="L2" s="10"/>
      <c r="M2" s="10"/>
      <c r="N2" s="10"/>
      <c r="O2" s="10"/>
      <c r="P2" s="10"/>
      <c r="Q2" s="10"/>
      <c r="R2" s="10"/>
      <c r="S2" s="10"/>
      <c r="T2" s="10"/>
      <c r="U2" s="10"/>
    </row>
    <row r="3" spans="1:21">
      <c r="A3" s="10"/>
      <c r="B3" s="10"/>
      <c r="C3" s="10"/>
      <c r="D3" s="10"/>
      <c r="E3" s="10"/>
      <c r="F3" s="10"/>
      <c r="G3" s="10"/>
      <c r="H3" s="10"/>
      <c r="I3" s="10"/>
      <c r="J3" s="10"/>
      <c r="K3" s="10"/>
      <c r="L3" s="10"/>
      <c r="M3" s="10"/>
      <c r="N3" s="10"/>
      <c r="O3" s="10"/>
      <c r="P3" s="10"/>
      <c r="Q3" s="10"/>
      <c r="R3" s="10"/>
      <c r="S3" s="10"/>
      <c r="T3" s="10"/>
      <c r="U3" s="10"/>
    </row>
    <row r="4" spans="1:21" ht="15" thickBot="1">
      <c r="A4" s="10"/>
      <c r="B4" s="3"/>
      <c r="C4" s="3"/>
      <c r="D4" s="3"/>
      <c r="E4" s="3"/>
      <c r="F4" s="85"/>
      <c r="G4" s="3"/>
      <c r="H4" s="3"/>
      <c r="I4" s="3"/>
      <c r="J4" s="3"/>
      <c r="K4" s="3"/>
      <c r="L4" s="3"/>
      <c r="M4" s="3"/>
      <c r="N4" s="3"/>
      <c r="O4" s="3"/>
      <c r="P4" s="3"/>
      <c r="Q4" s="3"/>
      <c r="R4" s="3"/>
      <c r="S4" s="3"/>
      <c r="T4" s="3"/>
      <c r="U4" s="10"/>
    </row>
    <row r="5" spans="1:21" ht="15" customHeight="1" thickBot="1">
      <c r="A5" s="10"/>
      <c r="B5" s="135" t="s">
        <v>41</v>
      </c>
      <c r="C5" s="170" t="s">
        <v>44</v>
      </c>
      <c r="D5" s="171"/>
      <c r="E5" s="103" t="s">
        <v>0</v>
      </c>
      <c r="F5" s="103" t="s">
        <v>1</v>
      </c>
      <c r="G5" s="183"/>
      <c r="H5" s="184"/>
      <c r="I5" s="24"/>
      <c r="J5" s="24"/>
      <c r="K5" s="8"/>
      <c r="L5" s="9"/>
      <c r="M5" s="8"/>
      <c r="N5" s="8"/>
      <c r="O5" s="9"/>
      <c r="P5" s="10"/>
      <c r="Q5" s="10"/>
      <c r="R5" s="10"/>
      <c r="S5" s="10"/>
      <c r="T5" s="10"/>
      <c r="U5" s="10"/>
    </row>
    <row r="6" spans="1:21" ht="15" thickBot="1">
      <c r="A6" s="10"/>
      <c r="B6" s="136"/>
      <c r="C6" s="178" t="s">
        <v>2</v>
      </c>
      <c r="D6" s="179"/>
      <c r="E6" s="39">
        <v>300</v>
      </c>
      <c r="F6" s="70">
        <v>100</v>
      </c>
      <c r="G6" s="185"/>
      <c r="H6" s="186"/>
      <c r="I6" s="75"/>
      <c r="J6" s="75"/>
      <c r="K6" s="10"/>
      <c r="L6" s="11"/>
      <c r="M6" s="10"/>
      <c r="N6" s="10"/>
      <c r="O6" s="11"/>
      <c r="P6" s="10"/>
      <c r="Q6" s="10"/>
      <c r="R6" s="10"/>
      <c r="S6" s="10"/>
      <c r="T6" s="10"/>
      <c r="U6" s="10"/>
    </row>
    <row r="7" spans="1:21" ht="15" customHeight="1" thickBot="1">
      <c r="A7" s="10"/>
      <c r="B7" s="136"/>
      <c r="C7" s="176" t="s">
        <v>3</v>
      </c>
      <c r="D7" s="177"/>
      <c r="E7" s="71">
        <v>100</v>
      </c>
      <c r="F7" s="71">
        <f>E7*$F$6/$E$6</f>
        <v>33.333333333333336</v>
      </c>
      <c r="G7" s="187"/>
      <c r="H7" s="188"/>
      <c r="I7" s="78"/>
      <c r="J7" s="90"/>
      <c r="K7" s="12"/>
      <c r="L7" s="13"/>
      <c r="M7" s="10"/>
      <c r="N7" s="10"/>
      <c r="O7" s="11"/>
      <c r="P7" s="10"/>
      <c r="Q7" s="10"/>
      <c r="R7" s="10"/>
      <c r="S7" s="10"/>
      <c r="T7" s="10"/>
      <c r="U7" s="10"/>
    </row>
    <row r="8" spans="1:21" ht="15" customHeight="1" thickBot="1">
      <c r="A8" s="10"/>
      <c r="B8" s="136"/>
      <c r="C8" s="174"/>
      <c r="D8" s="175"/>
      <c r="E8" s="79"/>
      <c r="F8" s="79"/>
      <c r="G8" s="72"/>
      <c r="H8" s="76"/>
      <c r="I8" s="77"/>
      <c r="J8" s="91"/>
      <c r="K8" s="92"/>
      <c r="L8" s="10"/>
      <c r="M8" s="10"/>
      <c r="N8" s="10"/>
      <c r="O8" s="11"/>
      <c r="P8" s="10"/>
      <c r="Q8" s="10"/>
      <c r="R8" s="10"/>
      <c r="S8" s="10"/>
      <c r="T8" s="10"/>
      <c r="U8" s="10"/>
    </row>
    <row r="9" spans="1:21" ht="15.75" customHeight="1" thickBot="1">
      <c r="A9" s="10"/>
      <c r="B9" s="136"/>
      <c r="C9" s="172" t="s">
        <v>60</v>
      </c>
      <c r="D9" s="173"/>
      <c r="E9" s="104" t="s">
        <v>0</v>
      </c>
      <c r="F9" s="160" t="s">
        <v>35</v>
      </c>
      <c r="G9" s="161"/>
      <c r="H9" s="80"/>
      <c r="I9" s="81"/>
      <c r="J9" s="93"/>
      <c r="K9" s="8"/>
      <c r="L9" s="9"/>
      <c r="M9" s="10"/>
      <c r="N9" s="10"/>
      <c r="O9" s="11"/>
      <c r="P9" s="10"/>
      <c r="Q9" s="10"/>
      <c r="R9" s="10"/>
      <c r="S9" s="10"/>
      <c r="T9" s="10"/>
      <c r="U9" s="10"/>
    </row>
    <row r="10" spans="1:21" ht="15" customHeight="1" thickBot="1">
      <c r="A10" s="10"/>
      <c r="B10" s="136"/>
      <c r="C10" s="180" t="s">
        <v>4</v>
      </c>
      <c r="D10" s="181"/>
      <c r="E10" s="71">
        <v>5</v>
      </c>
      <c r="F10" s="162"/>
      <c r="G10" s="163"/>
      <c r="H10" s="73"/>
      <c r="I10" s="74"/>
      <c r="J10" s="74"/>
      <c r="K10" s="10"/>
      <c r="L10" s="11"/>
      <c r="M10" s="10"/>
      <c r="N10" s="10"/>
      <c r="O10" s="11"/>
      <c r="P10" s="10"/>
      <c r="Q10" s="10"/>
      <c r="R10" s="10"/>
      <c r="S10" s="10"/>
      <c r="T10" s="10"/>
      <c r="U10" s="10"/>
    </row>
    <row r="11" spans="1:21" ht="15" thickBot="1">
      <c r="A11" s="10"/>
      <c r="B11" s="136"/>
      <c r="C11" s="133" t="s">
        <v>5</v>
      </c>
      <c r="D11" s="182"/>
      <c r="E11" s="102">
        <v>50</v>
      </c>
      <c r="F11" s="162"/>
      <c r="G11" s="163"/>
      <c r="H11" s="3"/>
      <c r="I11" s="3"/>
      <c r="J11" s="3"/>
      <c r="K11" s="10"/>
      <c r="L11" s="11"/>
      <c r="M11" s="10"/>
      <c r="N11" s="10"/>
      <c r="O11" s="11"/>
      <c r="P11" s="10"/>
      <c r="Q11" s="10"/>
      <c r="R11" s="10"/>
      <c r="S11" s="10"/>
      <c r="T11" s="10"/>
      <c r="U11" s="10"/>
    </row>
    <row r="12" spans="1:21" ht="16.5" customHeight="1">
      <c r="A12" s="10"/>
      <c r="B12" s="136"/>
      <c r="C12" s="154" t="s">
        <v>34</v>
      </c>
      <c r="D12" s="155"/>
      <c r="E12" s="158">
        <v>50</v>
      </c>
      <c r="F12" s="162"/>
      <c r="G12" s="163"/>
      <c r="H12" s="82"/>
      <c r="I12" s="10"/>
      <c r="J12" s="3"/>
      <c r="K12" s="10"/>
      <c r="L12" s="11"/>
      <c r="M12" s="10"/>
      <c r="N12" s="10"/>
      <c r="O12" s="11"/>
      <c r="P12" s="10"/>
      <c r="Q12" s="10"/>
      <c r="S12" s="10"/>
      <c r="T12" s="10"/>
      <c r="U12" s="10"/>
    </row>
    <row r="13" spans="1:21" ht="15" thickBot="1">
      <c r="A13" s="10"/>
      <c r="B13" s="136"/>
      <c r="C13" s="156"/>
      <c r="D13" s="157"/>
      <c r="E13" s="159"/>
      <c r="F13" s="164"/>
      <c r="G13" s="165"/>
      <c r="H13" s="26"/>
      <c r="I13" s="12"/>
      <c r="J13" s="5"/>
      <c r="K13" s="12"/>
      <c r="L13" s="13"/>
      <c r="M13" s="10"/>
      <c r="N13" s="10"/>
      <c r="O13" s="11"/>
      <c r="P13" s="10"/>
      <c r="Q13" s="10"/>
      <c r="R13" s="10"/>
      <c r="S13" s="10"/>
      <c r="T13" s="10"/>
      <c r="U13" s="10"/>
    </row>
    <row r="14" spans="1:21" ht="15">
      <c r="A14" s="10"/>
      <c r="B14" s="136"/>
      <c r="C14" s="166" t="s">
        <v>59</v>
      </c>
      <c r="D14" s="167"/>
      <c r="E14" s="167"/>
      <c r="F14" s="86"/>
      <c r="G14" s="86"/>
      <c r="H14" s="82"/>
      <c r="I14" s="10"/>
      <c r="J14" s="45"/>
      <c r="K14" s="10"/>
      <c r="L14" s="10"/>
      <c r="M14" s="10"/>
      <c r="N14" s="10"/>
      <c r="O14" s="11"/>
      <c r="P14" s="10"/>
      <c r="Q14" s="10"/>
      <c r="R14" s="3"/>
      <c r="S14" s="3"/>
      <c r="T14" s="3"/>
      <c r="U14" s="3"/>
    </row>
    <row r="15" spans="1:21" ht="14.45" customHeight="1" thickBot="1">
      <c r="A15" s="10"/>
      <c r="B15" s="137"/>
      <c r="C15" s="168"/>
      <c r="D15" s="169"/>
      <c r="E15" s="169"/>
      <c r="F15" s="87"/>
      <c r="G15" s="87"/>
      <c r="H15" s="26"/>
      <c r="I15" s="5"/>
      <c r="J15" s="5"/>
      <c r="K15" s="12"/>
      <c r="L15" s="12"/>
      <c r="M15" s="12"/>
      <c r="N15" s="12"/>
      <c r="O15" s="13"/>
      <c r="P15" s="3"/>
      <c r="Q15" s="3"/>
      <c r="R15" s="3"/>
      <c r="S15" s="3"/>
      <c r="T15" s="3"/>
      <c r="U15" s="3"/>
    </row>
    <row r="16" spans="1:21" ht="15.75" thickBot="1">
      <c r="A16" s="10"/>
      <c r="B16" s="88"/>
      <c r="C16" s="82"/>
      <c r="D16" s="82"/>
      <c r="E16" s="84"/>
      <c r="F16" s="83"/>
      <c r="G16" s="83"/>
      <c r="H16" s="82"/>
      <c r="I16" s="3"/>
      <c r="J16" s="3"/>
      <c r="K16" s="10"/>
      <c r="L16" s="10"/>
      <c r="M16" s="10"/>
      <c r="N16" s="10"/>
      <c r="O16" s="10"/>
      <c r="P16" s="3"/>
      <c r="Q16" s="3"/>
      <c r="R16" s="3"/>
      <c r="S16" s="3"/>
      <c r="T16" s="3"/>
      <c r="U16" s="3"/>
    </row>
    <row r="17" spans="1:21" ht="15" thickBot="1">
      <c r="A17" s="10"/>
      <c r="B17" s="135" t="s">
        <v>42</v>
      </c>
      <c r="C17" s="150" t="s">
        <v>37</v>
      </c>
      <c r="D17" s="151"/>
      <c r="E17" s="141" t="s">
        <v>0</v>
      </c>
      <c r="F17" s="141" t="s">
        <v>1</v>
      </c>
      <c r="G17" s="3"/>
      <c r="H17" s="3"/>
      <c r="I17" s="3"/>
      <c r="J17" s="89"/>
      <c r="K17" s="143" t="s">
        <v>43</v>
      </c>
      <c r="L17" s="146" t="s">
        <v>36</v>
      </c>
      <c r="M17" s="147"/>
      <c r="N17" s="41" t="s">
        <v>25</v>
      </c>
      <c r="O17" s="42" t="s">
        <v>26</v>
      </c>
      <c r="P17" s="3"/>
      <c r="Q17" s="3"/>
      <c r="R17" s="3"/>
      <c r="S17" s="3"/>
      <c r="T17" s="3"/>
      <c r="U17" s="3"/>
    </row>
    <row r="18" spans="1:21" ht="15.75" thickBot="1">
      <c r="A18" s="10"/>
      <c r="B18" s="136"/>
      <c r="C18" s="152"/>
      <c r="D18" s="153"/>
      <c r="E18" s="142"/>
      <c r="F18" s="142"/>
      <c r="G18" s="3"/>
      <c r="H18" s="140"/>
      <c r="I18" s="140"/>
      <c r="J18" s="3"/>
      <c r="K18" s="144"/>
      <c r="L18" s="148"/>
      <c r="M18" s="149"/>
      <c r="N18" s="43" t="s">
        <v>1</v>
      </c>
      <c r="O18" s="40" t="s">
        <v>1</v>
      </c>
      <c r="P18" s="3"/>
      <c r="Q18" s="3"/>
      <c r="R18" s="3"/>
      <c r="S18" s="3"/>
      <c r="T18" s="3"/>
      <c r="U18" s="3"/>
    </row>
    <row r="19" spans="1:21">
      <c r="A19" s="10"/>
      <c r="B19" s="136"/>
      <c r="C19" s="138" t="s">
        <v>45</v>
      </c>
      <c r="D19" s="139"/>
      <c r="E19" s="29">
        <v>75.528700906344412</v>
      </c>
      <c r="F19" s="30">
        <v>25.176233635448138</v>
      </c>
      <c r="G19" s="3"/>
      <c r="H19" s="3"/>
      <c r="I19" s="3"/>
      <c r="J19" s="3"/>
      <c r="K19" s="144"/>
      <c r="L19" s="138" t="s">
        <v>45</v>
      </c>
      <c r="M19" s="139"/>
      <c r="N19" s="14">
        <v>19.435806198948193</v>
      </c>
      <c r="O19" s="15">
        <v>4.6450486740516954</v>
      </c>
      <c r="P19" s="3"/>
      <c r="Q19" s="3"/>
      <c r="R19" s="3"/>
      <c r="S19" s="3"/>
      <c r="T19" s="3"/>
      <c r="U19" s="3"/>
    </row>
    <row r="20" spans="1:21" ht="15" customHeight="1">
      <c r="A20" s="10"/>
      <c r="B20" s="136"/>
      <c r="C20" s="126" t="s">
        <v>46</v>
      </c>
      <c r="D20" s="127"/>
      <c r="E20" s="31">
        <v>36.179450072358904</v>
      </c>
      <c r="F20" s="32">
        <v>12.059816690786301</v>
      </c>
      <c r="G20" s="27"/>
      <c r="H20" s="140" t="s">
        <v>38</v>
      </c>
      <c r="I20" s="140"/>
      <c r="J20" s="10"/>
      <c r="K20" s="144"/>
      <c r="L20" s="126" t="s">
        <v>46</v>
      </c>
      <c r="M20" s="127"/>
      <c r="N20" s="16">
        <v>19.219735220024656</v>
      </c>
      <c r="O20" s="17">
        <v>6.5324007075092458</v>
      </c>
      <c r="P20" s="3"/>
      <c r="Q20" s="3"/>
      <c r="R20" s="3"/>
      <c r="S20" s="3"/>
      <c r="T20" s="3"/>
      <c r="U20" s="3"/>
    </row>
    <row r="21" spans="1:21">
      <c r="A21" s="10"/>
      <c r="B21" s="136"/>
      <c r="C21" s="126" t="s">
        <v>55</v>
      </c>
      <c r="D21" s="127"/>
      <c r="E21" s="31">
        <v>100</v>
      </c>
      <c r="F21" s="32">
        <v>33.333333333333336</v>
      </c>
      <c r="G21" s="27"/>
      <c r="H21" s="10"/>
      <c r="I21" s="10"/>
      <c r="J21" s="3"/>
      <c r="K21" s="144"/>
      <c r="L21" s="126" t="s">
        <v>55</v>
      </c>
      <c r="M21" s="127"/>
      <c r="N21" s="16">
        <v>23.122222222222224</v>
      </c>
      <c r="O21" s="17">
        <v>7.0333333333333332</v>
      </c>
      <c r="P21" s="3"/>
      <c r="Q21" s="3"/>
      <c r="R21" s="3"/>
      <c r="S21" s="3"/>
      <c r="T21" s="3"/>
      <c r="U21" s="3"/>
    </row>
    <row r="22" spans="1:21" ht="14.25" customHeight="1">
      <c r="A22" s="10"/>
      <c r="B22" s="136"/>
      <c r="C22" s="126" t="s">
        <v>56</v>
      </c>
      <c r="D22" s="127"/>
      <c r="E22" s="31">
        <v>66.137566137566139</v>
      </c>
      <c r="F22" s="32">
        <v>22.045855379188712</v>
      </c>
      <c r="G22" s="28"/>
      <c r="J22" s="11"/>
      <c r="K22" s="144"/>
      <c r="L22" s="126" t="s">
        <v>56</v>
      </c>
      <c r="M22" s="127"/>
      <c r="N22" s="16">
        <v>28.735312561238487</v>
      </c>
      <c r="O22" s="17">
        <v>12.529120125416421</v>
      </c>
      <c r="P22" s="3"/>
      <c r="Q22" s="3"/>
      <c r="R22" s="3"/>
      <c r="S22" s="3"/>
      <c r="T22" s="3"/>
      <c r="U22" s="3"/>
    </row>
    <row r="23" spans="1:21">
      <c r="A23" s="10"/>
      <c r="B23" s="136"/>
      <c r="C23" s="126" t="s">
        <v>49</v>
      </c>
      <c r="D23" s="127"/>
      <c r="E23" s="31">
        <v>100</v>
      </c>
      <c r="F23" s="32">
        <v>33.333333333333336</v>
      </c>
      <c r="G23" s="28"/>
      <c r="H23" s="10"/>
      <c r="J23" s="10"/>
      <c r="K23" s="144"/>
      <c r="L23" s="126" t="s">
        <v>49</v>
      </c>
      <c r="M23" s="127"/>
      <c r="N23" s="16">
        <v>26.266666666666669</v>
      </c>
      <c r="O23" s="17">
        <v>10.722222222222223</v>
      </c>
      <c r="P23" s="3"/>
      <c r="Q23" s="3"/>
      <c r="R23" s="3"/>
      <c r="S23" s="3"/>
      <c r="T23" s="3"/>
      <c r="U23" s="3"/>
    </row>
    <row r="24" spans="1:21" ht="14.25" customHeight="1">
      <c r="A24" s="10"/>
      <c r="B24" s="136"/>
      <c r="C24" s="130" t="s">
        <v>50</v>
      </c>
      <c r="D24" s="131"/>
      <c r="E24" s="31">
        <v>60.024009603841534</v>
      </c>
      <c r="F24" s="32">
        <v>20.008003201280513</v>
      </c>
      <c r="G24" s="28"/>
      <c r="H24" s="10"/>
      <c r="I24" s="10"/>
      <c r="J24" s="3"/>
      <c r="K24" s="144"/>
      <c r="L24" s="130" t="s">
        <v>50</v>
      </c>
      <c r="M24" s="131"/>
      <c r="N24" s="16">
        <v>28.508003201280513</v>
      </c>
      <c r="O24" s="17">
        <v>19.32911386776933</v>
      </c>
      <c r="P24" s="100"/>
      <c r="Q24" s="100"/>
      <c r="R24" s="3"/>
      <c r="S24" s="3"/>
      <c r="T24" s="3"/>
      <c r="U24" s="3"/>
    </row>
    <row r="25" spans="1:21">
      <c r="A25" s="10"/>
      <c r="B25" s="136"/>
      <c r="C25" s="128" t="s">
        <v>22</v>
      </c>
      <c r="D25" s="129"/>
      <c r="E25" s="33">
        <v>50</v>
      </c>
      <c r="F25" s="34">
        <v>16.666666666666668</v>
      </c>
      <c r="G25" s="28"/>
      <c r="H25" s="10"/>
      <c r="I25" s="10"/>
      <c r="J25" s="3"/>
      <c r="K25" s="144"/>
      <c r="L25" s="128" t="s">
        <v>22</v>
      </c>
      <c r="M25" s="129"/>
      <c r="N25" s="18">
        <v>23.403703703703705</v>
      </c>
      <c r="O25" s="19">
        <v>8.2703703703703706</v>
      </c>
      <c r="P25" s="100"/>
      <c r="Q25" s="100"/>
      <c r="R25" s="3"/>
      <c r="S25" s="3"/>
      <c r="T25" s="3"/>
      <c r="U25" s="3"/>
    </row>
    <row r="26" spans="1:21">
      <c r="A26" s="10"/>
      <c r="B26" s="136"/>
      <c r="C26" s="126" t="s">
        <v>23</v>
      </c>
      <c r="D26" s="127"/>
      <c r="E26" s="31">
        <v>50</v>
      </c>
      <c r="F26" s="32">
        <v>16.666666666666668</v>
      </c>
      <c r="G26" s="28"/>
      <c r="H26" s="10"/>
      <c r="I26" s="10"/>
      <c r="J26" s="3"/>
      <c r="K26" s="144"/>
      <c r="L26" s="126" t="s">
        <v>23</v>
      </c>
      <c r="M26" s="127"/>
      <c r="N26" s="16">
        <v>24.992592592592594</v>
      </c>
      <c r="O26" s="17">
        <v>20.875925925925927</v>
      </c>
      <c r="P26" s="100"/>
      <c r="Q26" s="100"/>
      <c r="R26" s="3"/>
      <c r="S26" s="3"/>
      <c r="T26" s="3"/>
      <c r="U26" s="3"/>
    </row>
    <row r="27" spans="1:21">
      <c r="A27" s="10"/>
      <c r="B27" s="136"/>
      <c r="C27" s="130" t="s">
        <v>24</v>
      </c>
      <c r="D27" s="131"/>
      <c r="E27" s="35">
        <v>50</v>
      </c>
      <c r="F27" s="36">
        <v>16.666666666666668</v>
      </c>
      <c r="G27" s="28"/>
      <c r="H27" s="10"/>
      <c r="I27" s="10"/>
      <c r="J27" s="3"/>
      <c r="K27" s="144"/>
      <c r="L27" s="130" t="s">
        <v>24</v>
      </c>
      <c r="M27" s="131"/>
      <c r="N27" s="20">
        <v>24.992592592592594</v>
      </c>
      <c r="O27" s="21">
        <v>21.012962962962963</v>
      </c>
      <c r="P27" s="100"/>
      <c r="Q27" s="100"/>
      <c r="R27" s="3"/>
      <c r="S27" s="3"/>
      <c r="T27" s="3"/>
      <c r="U27" s="3"/>
    </row>
    <row r="28" spans="1:21">
      <c r="A28" s="10"/>
      <c r="B28" s="136"/>
      <c r="C28" s="128" t="s">
        <v>29</v>
      </c>
      <c r="D28" s="129"/>
      <c r="E28" s="31">
        <v>50</v>
      </c>
      <c r="F28" s="32">
        <v>16.666666666666668</v>
      </c>
      <c r="G28" s="28"/>
      <c r="H28" s="10"/>
      <c r="I28" s="10"/>
      <c r="J28" s="3"/>
      <c r="K28" s="144"/>
      <c r="L28" s="128" t="s">
        <v>29</v>
      </c>
      <c r="M28" s="129"/>
      <c r="N28" s="16">
        <v>5.8500000000000005</v>
      </c>
      <c r="O28" s="17">
        <v>1.4203703703703703</v>
      </c>
      <c r="P28" s="3"/>
      <c r="Q28" s="3"/>
      <c r="R28" s="3"/>
      <c r="S28" s="3"/>
      <c r="T28" s="3"/>
      <c r="U28" s="3"/>
    </row>
    <row r="29" spans="1:21">
      <c r="A29" s="10"/>
      <c r="B29" s="136"/>
      <c r="C29" s="126" t="s">
        <v>57</v>
      </c>
      <c r="D29" s="127"/>
      <c r="E29" s="31">
        <v>50</v>
      </c>
      <c r="F29" s="32">
        <v>16.666666666666668</v>
      </c>
      <c r="G29" s="28"/>
      <c r="H29" s="10"/>
      <c r="I29" s="10"/>
      <c r="J29" s="3"/>
      <c r="K29" s="144"/>
      <c r="L29" s="126" t="s">
        <v>57</v>
      </c>
      <c r="M29" s="127"/>
      <c r="N29" s="16">
        <v>23.24074074074074</v>
      </c>
      <c r="O29" s="17">
        <v>16.666666666666668</v>
      </c>
      <c r="P29" s="100"/>
      <c r="Q29" s="100"/>
      <c r="R29" s="3"/>
      <c r="S29" s="3"/>
      <c r="T29" s="3"/>
      <c r="U29" s="3"/>
    </row>
    <row r="30" spans="1:21" ht="15" thickBot="1">
      <c r="A30" s="10"/>
      <c r="B30" s="137"/>
      <c r="C30" s="133" t="s">
        <v>58</v>
      </c>
      <c r="D30" s="134"/>
      <c r="E30" s="37">
        <v>50</v>
      </c>
      <c r="F30" s="38">
        <v>16.666666666666668</v>
      </c>
      <c r="G30" s="28"/>
      <c r="H30" s="10"/>
      <c r="I30" s="10"/>
      <c r="J30" s="3"/>
      <c r="K30" s="145"/>
      <c r="L30" s="133" t="s">
        <v>58</v>
      </c>
      <c r="M30" s="134"/>
      <c r="N30" s="22">
        <v>19.62037037037037</v>
      </c>
      <c r="O30" s="23">
        <v>7.412962962962963</v>
      </c>
      <c r="P30" s="100"/>
      <c r="Q30" s="100"/>
      <c r="R30" s="3"/>
      <c r="S30" s="3"/>
      <c r="T30" s="3"/>
      <c r="U30" s="3"/>
    </row>
    <row r="31" spans="1:21">
      <c r="A31" s="3"/>
      <c r="B31" s="3"/>
      <c r="C31" s="3"/>
      <c r="D31" s="3"/>
      <c r="E31" s="3"/>
      <c r="F31" s="45"/>
      <c r="G31" s="101"/>
      <c r="H31" s="3"/>
      <c r="I31" s="3"/>
      <c r="J31" s="3"/>
      <c r="K31" s="3"/>
      <c r="L31" s="3"/>
      <c r="M31" s="3"/>
      <c r="N31" s="3"/>
      <c r="O31" s="3"/>
      <c r="P31" s="100"/>
      <c r="Q31" s="100"/>
      <c r="R31" s="3"/>
      <c r="S31" s="3"/>
      <c r="T31" s="3"/>
      <c r="U31" s="3"/>
    </row>
    <row r="32" spans="1:21">
      <c r="A32" s="3"/>
      <c r="B32" s="3"/>
      <c r="C32" s="3"/>
      <c r="D32" s="3"/>
      <c r="E32" s="3"/>
      <c r="F32" s="3"/>
      <c r="G32" s="101"/>
      <c r="H32" s="3"/>
      <c r="I32" s="3"/>
      <c r="J32" s="3"/>
      <c r="K32" s="3"/>
      <c r="L32" s="3"/>
      <c r="M32" s="3"/>
      <c r="N32" s="3"/>
      <c r="O32" s="3"/>
      <c r="P32" s="100"/>
      <c r="Q32" s="100"/>
      <c r="R32" s="3"/>
      <c r="S32" s="3"/>
      <c r="T32" s="3"/>
      <c r="U32" s="3"/>
    </row>
    <row r="33" spans="1:21">
      <c r="A33" s="3"/>
      <c r="B33" s="3"/>
      <c r="C33" s="3"/>
      <c r="D33" s="3"/>
      <c r="E33" s="3"/>
      <c r="F33" s="3"/>
      <c r="G33" s="101"/>
      <c r="H33" s="3"/>
      <c r="I33" s="3"/>
      <c r="J33" s="3"/>
      <c r="K33" s="3"/>
      <c r="L33" s="3"/>
      <c r="M33" s="3"/>
      <c r="N33" s="3"/>
      <c r="O33" s="3"/>
      <c r="P33" s="3"/>
      <c r="Q33" s="3"/>
      <c r="R33" s="3"/>
      <c r="S33" s="3"/>
      <c r="T33" s="3"/>
      <c r="U33" s="3"/>
    </row>
    <row r="34" spans="1:21">
      <c r="A34" s="10"/>
      <c r="B34" s="3"/>
      <c r="C34" s="3"/>
      <c r="D34" s="3"/>
      <c r="E34" s="10"/>
      <c r="F34" s="10"/>
      <c r="G34" s="10"/>
      <c r="H34" s="10"/>
      <c r="I34" s="10"/>
      <c r="J34" s="3"/>
      <c r="K34" s="3"/>
      <c r="L34" s="3"/>
      <c r="M34" s="3"/>
      <c r="N34" s="3"/>
      <c r="O34" s="3"/>
      <c r="P34" s="3"/>
      <c r="Q34" s="3"/>
      <c r="R34" s="3"/>
      <c r="S34" s="3"/>
      <c r="T34" s="3"/>
      <c r="U34" s="10"/>
    </row>
    <row r="35" spans="1:21">
      <c r="A35" s="10"/>
      <c r="B35" s="3"/>
      <c r="C35" s="3"/>
      <c r="D35" s="3"/>
      <c r="E35" s="10"/>
      <c r="F35" s="10"/>
      <c r="G35" s="10"/>
      <c r="H35" s="10"/>
      <c r="I35" s="10"/>
      <c r="J35" s="3"/>
      <c r="K35" s="3"/>
      <c r="L35" s="3"/>
      <c r="M35" s="3"/>
      <c r="N35" s="3"/>
      <c r="O35" s="3"/>
      <c r="P35" s="3"/>
      <c r="Q35" s="3"/>
      <c r="R35" s="3"/>
      <c r="S35" s="3"/>
      <c r="T35" s="3"/>
      <c r="U35" s="10"/>
    </row>
    <row r="36" spans="1:21">
      <c r="A36" s="10"/>
      <c r="B36" s="132"/>
      <c r="C36" s="132"/>
      <c r="D36" s="132"/>
      <c r="E36" s="10"/>
      <c r="F36" s="10"/>
      <c r="G36" s="10"/>
      <c r="H36" s="10"/>
      <c r="I36" s="10"/>
      <c r="J36" s="6"/>
      <c r="K36" s="6"/>
      <c r="L36" s="3"/>
      <c r="M36" s="3"/>
      <c r="N36" s="3"/>
      <c r="O36" s="3"/>
      <c r="P36" s="3"/>
      <c r="Q36" s="3"/>
      <c r="R36" s="3"/>
      <c r="S36" s="3"/>
      <c r="T36" s="3"/>
      <c r="U36" s="10"/>
    </row>
    <row r="37" spans="1:21">
      <c r="A37" s="10"/>
      <c r="B37" s="3"/>
      <c r="C37" s="3"/>
      <c r="D37" s="3"/>
      <c r="E37" s="10"/>
      <c r="F37" s="10"/>
      <c r="G37" s="10"/>
      <c r="H37" s="10"/>
      <c r="I37" s="10"/>
      <c r="J37" s="6"/>
      <c r="K37" s="3"/>
      <c r="L37" s="3"/>
      <c r="M37" s="3"/>
      <c r="N37" s="3"/>
      <c r="O37" s="3"/>
      <c r="P37" s="3"/>
      <c r="Q37" s="3"/>
      <c r="R37" s="3"/>
      <c r="S37" s="3"/>
      <c r="T37" s="3"/>
      <c r="U37" s="10"/>
    </row>
    <row r="38" spans="1:21">
      <c r="A38" s="10"/>
      <c r="B38" s="3"/>
      <c r="C38" s="3"/>
      <c r="D38" s="3"/>
      <c r="E38" s="10"/>
      <c r="F38" s="10"/>
      <c r="G38" s="10"/>
      <c r="H38" s="10"/>
      <c r="I38" s="10"/>
      <c r="J38" s="6"/>
      <c r="K38" s="3"/>
      <c r="L38" s="3"/>
      <c r="M38" s="3"/>
      <c r="N38" s="3"/>
      <c r="O38" s="3"/>
      <c r="P38" s="3"/>
      <c r="Q38" s="3"/>
      <c r="R38" s="3"/>
      <c r="S38" s="3"/>
      <c r="T38" s="3"/>
      <c r="U38" s="10"/>
    </row>
    <row r="39" spans="1:21">
      <c r="A39" s="10"/>
      <c r="B39" s="3"/>
      <c r="C39" s="3"/>
      <c r="D39" s="3"/>
      <c r="E39" s="10"/>
      <c r="F39" s="10"/>
      <c r="G39" s="10"/>
      <c r="H39" s="10"/>
      <c r="I39" s="10"/>
      <c r="J39" s="6"/>
      <c r="K39" s="3"/>
      <c r="L39" s="3"/>
      <c r="M39" s="3"/>
      <c r="N39" s="3"/>
      <c r="O39" s="3"/>
      <c r="P39" s="3"/>
      <c r="Q39" s="3"/>
      <c r="R39" s="3"/>
      <c r="S39" s="3"/>
      <c r="T39" s="3"/>
      <c r="U39" s="10"/>
    </row>
    <row r="40" spans="1:21">
      <c r="A40" s="10"/>
      <c r="B40" s="3"/>
      <c r="C40" s="3"/>
      <c r="D40" s="3"/>
      <c r="E40" s="10"/>
      <c r="F40" s="10"/>
      <c r="G40" s="10"/>
      <c r="H40" s="10"/>
      <c r="I40" s="10"/>
      <c r="J40" s="6"/>
      <c r="K40" s="3"/>
      <c r="L40" s="3"/>
      <c r="M40" s="3"/>
      <c r="N40" s="3"/>
      <c r="O40" s="3"/>
      <c r="P40" s="3"/>
      <c r="Q40" s="3"/>
      <c r="R40" s="3"/>
      <c r="S40" s="3"/>
      <c r="T40" s="3"/>
      <c r="U40" s="10"/>
    </row>
    <row r="41" spans="1:21">
      <c r="A41" s="10"/>
      <c r="B41" s="3"/>
      <c r="C41" s="3"/>
      <c r="D41" s="3"/>
      <c r="E41" s="10"/>
      <c r="F41" s="10"/>
      <c r="G41" s="10"/>
      <c r="H41" s="10"/>
      <c r="I41" s="10"/>
      <c r="J41" s="6"/>
      <c r="K41" s="3"/>
      <c r="L41" s="3"/>
      <c r="M41" s="3"/>
      <c r="N41" s="3"/>
      <c r="O41" s="3"/>
      <c r="P41" s="3"/>
      <c r="Q41" s="3"/>
      <c r="R41" s="3"/>
      <c r="S41" s="3"/>
      <c r="T41" s="3"/>
      <c r="U41" s="10"/>
    </row>
    <row r="42" spans="1:21">
      <c r="A42" s="10"/>
      <c r="B42" s="3"/>
      <c r="C42" s="3"/>
      <c r="D42" s="3"/>
      <c r="E42" s="10"/>
      <c r="F42" s="10"/>
      <c r="G42" s="10"/>
      <c r="H42" s="10"/>
      <c r="I42" s="10"/>
      <c r="J42" s="6"/>
      <c r="K42" s="3"/>
      <c r="L42" s="3"/>
      <c r="M42" s="3"/>
      <c r="N42" s="3"/>
      <c r="O42" s="3"/>
      <c r="P42" s="3"/>
      <c r="Q42" s="3"/>
      <c r="R42" s="3"/>
      <c r="S42" s="3"/>
      <c r="T42" s="3"/>
      <c r="U42" s="10"/>
    </row>
    <row r="43" spans="1:21">
      <c r="A43" s="10"/>
      <c r="B43" s="3"/>
      <c r="C43" s="3"/>
      <c r="D43" s="3"/>
      <c r="E43" s="10"/>
      <c r="F43" s="10"/>
      <c r="G43" s="10"/>
      <c r="H43" s="10"/>
      <c r="I43" s="10"/>
      <c r="J43" s="6"/>
      <c r="K43" s="3"/>
      <c r="L43" s="3"/>
      <c r="M43" s="3"/>
      <c r="N43" s="3"/>
      <c r="O43" s="3"/>
      <c r="P43" s="3"/>
      <c r="Q43" s="3"/>
      <c r="R43" s="3"/>
      <c r="S43" s="3"/>
      <c r="T43" s="3"/>
      <c r="U43" s="10"/>
    </row>
    <row r="44" spans="1:21">
      <c r="A44" s="10"/>
      <c r="B44" s="3"/>
      <c r="C44" s="3"/>
      <c r="D44" s="3"/>
      <c r="E44" s="10"/>
      <c r="F44" s="10"/>
      <c r="G44" s="10"/>
      <c r="H44" s="10"/>
      <c r="I44" s="10"/>
      <c r="J44" s="6"/>
      <c r="K44" s="3"/>
      <c r="L44" s="3"/>
      <c r="M44" s="3"/>
      <c r="N44" s="3"/>
      <c r="O44" s="3"/>
      <c r="P44" s="3"/>
      <c r="Q44" s="3"/>
      <c r="R44" s="3"/>
      <c r="S44" s="3"/>
      <c r="T44" s="3"/>
      <c r="U44" s="10"/>
    </row>
    <row r="45" spans="1:21">
      <c r="A45" s="10"/>
      <c r="B45" s="3"/>
      <c r="C45" s="3"/>
      <c r="D45" s="3"/>
      <c r="E45" s="10"/>
      <c r="F45" s="10"/>
      <c r="G45" s="10"/>
      <c r="H45" s="10"/>
      <c r="I45" s="10"/>
      <c r="J45" s="6"/>
      <c r="K45" s="3"/>
      <c r="L45" s="3"/>
      <c r="M45" s="3"/>
      <c r="N45" s="3"/>
      <c r="O45" s="3"/>
      <c r="P45" s="3"/>
      <c r="Q45" s="3"/>
      <c r="R45" s="3"/>
      <c r="S45" s="3"/>
      <c r="T45" s="3"/>
      <c r="U45" s="10"/>
    </row>
    <row r="46" spans="1:21">
      <c r="A46" s="10"/>
      <c r="B46" s="3"/>
      <c r="C46" s="3"/>
      <c r="D46" s="3"/>
      <c r="E46" s="10"/>
      <c r="F46" s="10"/>
      <c r="G46" s="10"/>
      <c r="H46" s="10"/>
      <c r="I46" s="10"/>
      <c r="J46" s="6"/>
      <c r="K46" s="3"/>
      <c r="L46" s="3"/>
      <c r="M46" s="3"/>
      <c r="N46" s="3"/>
      <c r="O46" s="3"/>
      <c r="P46" s="3"/>
      <c r="Q46" s="3"/>
      <c r="R46" s="3"/>
      <c r="S46" s="3"/>
      <c r="T46" s="3"/>
      <c r="U46" s="10"/>
    </row>
    <row r="47" spans="1:21">
      <c r="A47" s="10"/>
      <c r="B47" s="3"/>
      <c r="C47" s="3"/>
      <c r="D47" s="3"/>
      <c r="E47" s="10"/>
      <c r="F47" s="10"/>
      <c r="G47" s="10"/>
      <c r="H47" s="10"/>
      <c r="I47" s="10"/>
      <c r="J47" s="6"/>
      <c r="K47" s="3"/>
      <c r="L47" s="3"/>
      <c r="M47" s="3"/>
      <c r="N47" s="3"/>
      <c r="O47" s="3"/>
      <c r="P47" s="3"/>
      <c r="Q47" s="3"/>
      <c r="R47" s="3"/>
      <c r="S47" s="3"/>
      <c r="T47" s="3"/>
      <c r="U47" s="10"/>
    </row>
    <row r="48" spans="1:21">
      <c r="A48" s="10"/>
      <c r="B48" s="3"/>
      <c r="C48" s="3"/>
      <c r="D48" s="3"/>
      <c r="E48" s="3"/>
      <c r="F48" s="3"/>
      <c r="G48" s="3"/>
      <c r="H48" s="3"/>
      <c r="I48" s="3"/>
      <c r="J48" s="3"/>
      <c r="K48" s="3"/>
      <c r="L48" s="3"/>
      <c r="M48" s="3"/>
      <c r="N48" s="3"/>
      <c r="O48" s="3"/>
      <c r="P48" s="3"/>
      <c r="Q48" s="3"/>
      <c r="R48" s="3"/>
      <c r="S48" s="3"/>
      <c r="T48" s="3"/>
      <c r="U48" s="10"/>
    </row>
    <row r="49" spans="1:21">
      <c r="A49" s="10"/>
      <c r="B49" s="3"/>
      <c r="C49" s="3"/>
      <c r="D49" s="3"/>
      <c r="E49" s="3"/>
      <c r="F49" s="3"/>
      <c r="G49" s="3"/>
      <c r="H49" s="3"/>
      <c r="I49" s="3"/>
      <c r="J49" s="3"/>
      <c r="K49" s="3"/>
      <c r="L49" s="3"/>
      <c r="M49" s="3"/>
      <c r="N49" s="3"/>
      <c r="O49" s="3"/>
      <c r="P49" s="3"/>
      <c r="Q49" s="3"/>
      <c r="R49" s="3"/>
      <c r="S49" s="3"/>
      <c r="T49" s="3"/>
      <c r="U49" s="10"/>
    </row>
    <row r="50" spans="1:21">
      <c r="A50" s="10"/>
      <c r="B50" s="3"/>
      <c r="C50" s="3"/>
      <c r="D50" s="3"/>
      <c r="E50" s="3"/>
      <c r="F50" s="3"/>
      <c r="G50" s="3"/>
      <c r="H50" s="3"/>
      <c r="I50" s="3"/>
      <c r="J50" s="3"/>
      <c r="K50" s="3"/>
      <c r="L50" s="3"/>
      <c r="M50" s="3"/>
      <c r="N50" s="3"/>
      <c r="O50" s="3"/>
      <c r="P50" s="3"/>
      <c r="Q50" s="3"/>
      <c r="R50" s="3"/>
      <c r="S50" s="3"/>
      <c r="T50" s="3"/>
      <c r="U50" s="10"/>
    </row>
    <row r="51" spans="1:21">
      <c r="A51" s="10"/>
      <c r="B51" s="3"/>
      <c r="C51" s="3"/>
      <c r="D51" s="3"/>
      <c r="E51" s="3"/>
      <c r="F51" s="3"/>
      <c r="G51" s="3"/>
      <c r="H51" s="3"/>
      <c r="I51" s="3"/>
      <c r="J51" s="3"/>
      <c r="K51" s="3"/>
      <c r="L51" s="3"/>
      <c r="M51" s="3"/>
      <c r="N51" s="3"/>
      <c r="O51" s="3"/>
      <c r="P51" s="3"/>
      <c r="Q51" s="3"/>
      <c r="R51" s="3"/>
      <c r="S51" s="3"/>
      <c r="T51" s="3"/>
      <c r="U51" s="10"/>
    </row>
    <row r="52" spans="1:21">
      <c r="A52" s="3"/>
      <c r="B52" s="3"/>
      <c r="C52" s="3"/>
      <c r="D52" s="3"/>
      <c r="E52" s="3"/>
      <c r="F52" s="3"/>
      <c r="G52" s="3"/>
      <c r="H52" s="3"/>
      <c r="I52" s="3"/>
      <c r="J52" s="3"/>
      <c r="K52" s="3"/>
      <c r="L52" s="3"/>
      <c r="M52" s="3"/>
      <c r="N52" s="3"/>
      <c r="O52" s="3"/>
      <c r="P52" s="3"/>
      <c r="Q52" s="3"/>
      <c r="R52" s="3"/>
      <c r="S52" s="3"/>
      <c r="T52" s="3"/>
      <c r="U52" s="3"/>
    </row>
    <row r="53" spans="1:21">
      <c r="A53" s="3"/>
      <c r="B53" s="3"/>
      <c r="C53" s="3"/>
      <c r="D53" s="3"/>
      <c r="E53" s="3"/>
      <c r="F53" s="3"/>
      <c r="G53" s="3"/>
      <c r="H53" s="3"/>
      <c r="I53" s="3"/>
      <c r="J53" s="3"/>
      <c r="K53" s="3"/>
      <c r="L53" s="3"/>
      <c r="M53" s="3"/>
      <c r="N53" s="3"/>
      <c r="O53" s="3"/>
      <c r="P53" s="3"/>
      <c r="Q53" s="3"/>
      <c r="R53" s="3"/>
      <c r="S53" s="3"/>
      <c r="T53" s="3"/>
      <c r="U53" s="3"/>
    </row>
    <row r="54" spans="1:21">
      <c r="A54" s="69">
        <v>1</v>
      </c>
    </row>
  </sheetData>
  <mergeCells count="46">
    <mergeCell ref="C17:D18"/>
    <mergeCell ref="B5:B15"/>
    <mergeCell ref="C12:D13"/>
    <mergeCell ref="E12:E13"/>
    <mergeCell ref="F9:G13"/>
    <mergeCell ref="C14:E15"/>
    <mergeCell ref="C5:D5"/>
    <mergeCell ref="C9:D9"/>
    <mergeCell ref="C8:D8"/>
    <mergeCell ref="C7:D7"/>
    <mergeCell ref="C6:D6"/>
    <mergeCell ref="C10:D10"/>
    <mergeCell ref="C11:D11"/>
    <mergeCell ref="G5:H7"/>
    <mergeCell ref="C30:D30"/>
    <mergeCell ref="C24:D24"/>
    <mergeCell ref="C25:D25"/>
    <mergeCell ref="C26:D26"/>
    <mergeCell ref="C21:D21"/>
    <mergeCell ref="C22:D22"/>
    <mergeCell ref="H20:I20"/>
    <mergeCell ref="E17:E18"/>
    <mergeCell ref="F17:F18"/>
    <mergeCell ref="K17:K30"/>
    <mergeCell ref="L17:M18"/>
    <mergeCell ref="L19:M19"/>
    <mergeCell ref="L20:M20"/>
    <mergeCell ref="L23:M23"/>
    <mergeCell ref="L21:M21"/>
    <mergeCell ref="L22:M22"/>
    <mergeCell ref="C20:D20"/>
    <mergeCell ref="L28:M28"/>
    <mergeCell ref="C27:D27"/>
    <mergeCell ref="C28:D28"/>
    <mergeCell ref="B36:D36"/>
    <mergeCell ref="L30:M30"/>
    <mergeCell ref="L24:M24"/>
    <mergeCell ref="L25:M25"/>
    <mergeCell ref="L26:M26"/>
    <mergeCell ref="L27:M27"/>
    <mergeCell ref="B17:B30"/>
    <mergeCell ref="C19:D19"/>
    <mergeCell ref="L29:M29"/>
    <mergeCell ref="H18:I18"/>
    <mergeCell ref="C23:D23"/>
    <mergeCell ref="C29:D29"/>
  </mergeCells>
  <conditionalFormatting sqref="N19:O30">
    <cfRule type="dataBar" priority="1">
      <dataBar>
        <cfvo type="min"/>
        <cfvo type="num" val="100"/>
        <color rgb="FF29A992"/>
      </dataBar>
      <extLst>
        <ext xmlns:x14="http://schemas.microsoft.com/office/spreadsheetml/2009/9/main" uri="{B025F937-C7B1-47D3-B67F-A62EFF666E3E}">
          <x14:id>{CA3BCA5E-6B1F-4ED6-A89B-89692717BBE4}</x14:id>
        </ext>
      </extLst>
    </cfRule>
    <cfRule type="dataBar" priority="2">
      <dataBar>
        <cfvo type="min"/>
        <cfvo type="max"/>
        <color rgb="FF638EC6"/>
      </dataBar>
      <extLst>
        <ext xmlns:x14="http://schemas.microsoft.com/office/spreadsheetml/2009/9/main" uri="{B025F937-C7B1-47D3-B67F-A62EFF666E3E}">
          <x14:id>{9E6CC6D7-54C6-41A8-8E89-C8DA898AD94B}</x14:id>
        </ext>
      </extLst>
    </cfRule>
  </conditionalFormatting>
  <pageMargins left="0.7" right="0.7" top="0.78740157499999996" bottom="0.78740157499999996" header="0.3" footer="0.3"/>
  <pageSetup paperSize="9"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3" r:id="rId4" name="Button 49">
              <controlPr defaultSize="0" print="0" autoFill="0" autoPict="0" macro="[0]!Modul2.FormularAnzeigen">
                <anchor moveWithCells="1" sizeWithCells="1">
                  <from>
                    <xdr:col>8</xdr:col>
                    <xdr:colOff>9525</xdr:colOff>
                    <xdr:row>4</xdr:row>
                    <xdr:rowOff>133350</xdr:rowOff>
                  </from>
                  <to>
                    <xdr:col>10</xdr:col>
                    <xdr:colOff>76200</xdr:colOff>
                    <xdr:row>6</xdr:row>
                    <xdr:rowOff>57150</xdr:rowOff>
                  </to>
                </anchor>
              </controlPr>
            </control>
          </mc:Choice>
        </mc:AlternateContent>
        <mc:AlternateContent xmlns:mc="http://schemas.openxmlformats.org/markup-compatibility/2006">
          <mc:Choice Requires="x14">
            <control shapeId="1090" r:id="rId5" name="Option Button 66">
              <controlPr defaultSize="0" autoFill="0" autoLine="0" autoPict="0">
                <anchor moveWithCells="1">
                  <from>
                    <xdr:col>4</xdr:col>
                    <xdr:colOff>114300</xdr:colOff>
                    <xdr:row>13</xdr:row>
                    <xdr:rowOff>95250</xdr:rowOff>
                  </from>
                  <to>
                    <xdr:col>5</xdr:col>
                    <xdr:colOff>352425</xdr:colOff>
                    <xdr:row>14</xdr:row>
                    <xdr:rowOff>85725</xdr:rowOff>
                  </to>
                </anchor>
              </controlPr>
            </control>
          </mc:Choice>
        </mc:AlternateContent>
        <mc:AlternateContent xmlns:mc="http://schemas.openxmlformats.org/markup-compatibility/2006">
          <mc:Choice Requires="x14">
            <control shapeId="1095" r:id="rId6" name="Button 71">
              <controlPr defaultSize="0" print="0" autoFill="0" autoPict="0" macro="[0]!CombinedFunction">
                <anchor moveWithCells="1" sizeWithCells="1">
                  <from>
                    <xdr:col>8</xdr:col>
                    <xdr:colOff>19050</xdr:colOff>
                    <xdr:row>13</xdr:row>
                    <xdr:rowOff>47625</xdr:rowOff>
                  </from>
                  <to>
                    <xdr:col>10</xdr:col>
                    <xdr:colOff>66675</xdr:colOff>
                    <xdr:row>14</xdr:row>
                    <xdr:rowOff>142875</xdr:rowOff>
                  </to>
                </anchor>
              </controlPr>
            </control>
          </mc:Choice>
        </mc:AlternateContent>
        <mc:AlternateContent xmlns:mc="http://schemas.openxmlformats.org/markup-compatibility/2006">
          <mc:Choice Requires="x14">
            <control shapeId="1106" r:id="rId7" name="Button 82">
              <controlPr defaultSize="0" print="0" autoFill="0" autoPict="0" macro="[0]!Modul4.FormularAnzeigen">
                <anchor moveWithCells="1" sizeWithCells="1">
                  <from>
                    <xdr:col>8</xdr:col>
                    <xdr:colOff>19050</xdr:colOff>
                    <xdr:row>8</xdr:row>
                    <xdr:rowOff>171450</xdr:rowOff>
                  </from>
                  <to>
                    <xdr:col>10</xdr:col>
                    <xdr:colOff>66675</xdr:colOff>
                    <xdr:row>12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A3BCA5E-6B1F-4ED6-A89B-89692717BBE4}">
            <x14:dataBar minLength="0" maxLength="100" gradient="0">
              <x14:cfvo type="autoMin"/>
              <x14:cfvo type="num">
                <xm:f>100</xm:f>
              </x14:cfvo>
              <x14:negativeFillColor rgb="FFFF0000"/>
              <x14:axisColor rgb="FF000000"/>
            </x14:dataBar>
          </x14:cfRule>
          <x14:cfRule type="dataBar" id="{9E6CC6D7-54C6-41A8-8E89-C8DA898AD94B}">
            <x14:dataBar minLength="0" maxLength="100" border="1" negativeBarBorderColorSameAsPositive="0">
              <x14:cfvo type="autoMin"/>
              <x14:cfvo type="autoMax"/>
              <x14:borderColor rgb="FF638EC6"/>
              <x14:negativeFillColor rgb="FFFF0000"/>
              <x14:negativeBorderColor rgb="FFFF0000"/>
              <x14:axisColor rgb="FF000000"/>
            </x14:dataBar>
          </x14:cfRule>
          <xm:sqref>N19:O30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0697B-FD57-44B5-8B1A-E50817BBEB1D}">
  <sheetPr codeName="Tabelle4"/>
  <dimension ref="A1:M55"/>
  <sheetViews>
    <sheetView showGridLines="0" zoomScale="70" zoomScaleNormal="70" workbookViewId="0">
      <selection activeCell="O36" sqref="O36"/>
    </sheetView>
  </sheetViews>
  <sheetFormatPr baseColWidth="10" defaultRowHeight="14.25"/>
  <cols>
    <col min="1" max="2" width="2.625" customWidth="1"/>
    <col min="3" max="3" width="16.125" customWidth="1"/>
    <col min="4" max="4" width="5.5" customWidth="1"/>
    <col min="5" max="5" width="11.625" customWidth="1"/>
    <col min="6" max="6" width="9.25" customWidth="1"/>
    <col min="7" max="7" width="8.75" customWidth="1"/>
    <col min="8" max="8" width="14.25" customWidth="1"/>
    <col min="9" max="9" width="6.5" customWidth="1"/>
    <col min="10" max="11" width="4.5" customWidth="1"/>
    <col min="12" max="12" width="2.125" customWidth="1"/>
  </cols>
  <sheetData>
    <row r="1" spans="1:13">
      <c r="A1" s="10"/>
      <c r="B1" s="10"/>
      <c r="C1" s="10"/>
      <c r="D1" s="10"/>
      <c r="E1" s="10"/>
      <c r="F1" s="10"/>
      <c r="G1" s="10"/>
      <c r="H1" s="10"/>
      <c r="I1" s="10"/>
      <c r="J1" s="10"/>
      <c r="K1" s="10"/>
      <c r="L1" s="10"/>
      <c r="M1" s="106"/>
    </row>
    <row r="2" spans="1:13">
      <c r="A2" s="10"/>
      <c r="B2" s="10"/>
      <c r="C2" s="44"/>
      <c r="D2" s="44"/>
      <c r="E2" s="44"/>
      <c r="F2" s="44"/>
      <c r="G2" s="44"/>
      <c r="H2" s="44"/>
      <c r="I2" s="189"/>
      <c r="J2" s="189"/>
      <c r="K2" s="189"/>
      <c r="L2" s="10"/>
      <c r="M2" s="106"/>
    </row>
    <row r="3" spans="1:13">
      <c r="A3" s="10"/>
      <c r="B3" s="10"/>
      <c r="C3" s="44"/>
      <c r="D3" s="44"/>
      <c r="E3" s="44"/>
      <c r="F3" s="44"/>
      <c r="G3" s="44"/>
      <c r="H3" s="194"/>
      <c r="I3" s="194"/>
      <c r="J3" s="194"/>
      <c r="K3" s="194"/>
      <c r="L3" s="10"/>
      <c r="M3" s="106"/>
    </row>
    <row r="4" spans="1:13" ht="15.75">
      <c r="A4" s="10"/>
      <c r="B4" s="108"/>
      <c r="C4" s="121" t="s">
        <v>65</v>
      </c>
      <c r="D4" s="110"/>
      <c r="E4" s="109"/>
      <c r="F4" s="109"/>
      <c r="G4" s="109"/>
      <c r="H4" s="109"/>
      <c r="I4" s="109"/>
      <c r="J4" s="109"/>
      <c r="K4" s="109"/>
      <c r="L4" s="10"/>
      <c r="M4" s="106"/>
    </row>
    <row r="5" spans="1:13" ht="5.25" customHeight="1">
      <c r="A5" s="10"/>
      <c r="B5" s="108"/>
      <c r="C5" s="109"/>
      <c r="D5" s="109"/>
      <c r="E5" s="109"/>
      <c r="F5" s="109"/>
      <c r="G5" s="109"/>
      <c r="H5" s="109"/>
      <c r="I5" s="109"/>
      <c r="J5" s="109"/>
      <c r="K5" s="109"/>
      <c r="L5" s="10"/>
      <c r="M5" s="106"/>
    </row>
    <row r="6" spans="1:13" ht="15">
      <c r="A6" s="10"/>
      <c r="B6" s="108"/>
      <c r="C6" s="113" t="s">
        <v>67</v>
      </c>
      <c r="D6" s="109"/>
      <c r="E6" s="109"/>
      <c r="F6" s="109"/>
      <c r="G6" s="109"/>
      <c r="H6" s="109"/>
      <c r="I6" s="109"/>
      <c r="J6" s="109"/>
      <c r="K6" s="109"/>
      <c r="L6" s="10"/>
      <c r="M6" s="106"/>
    </row>
    <row r="7" spans="1:13">
      <c r="A7" s="10"/>
      <c r="B7" s="108"/>
      <c r="C7" s="109"/>
      <c r="D7" s="109"/>
      <c r="E7" s="109"/>
      <c r="F7" s="109"/>
      <c r="G7" s="109"/>
      <c r="H7" s="109"/>
      <c r="I7" s="109"/>
      <c r="J7" s="109"/>
      <c r="K7" s="109"/>
      <c r="L7" s="10"/>
      <c r="M7" s="106"/>
    </row>
    <row r="8" spans="1:13" ht="14.25" customHeight="1">
      <c r="A8" s="10"/>
      <c r="B8" s="108"/>
      <c r="C8" s="196"/>
      <c r="D8" s="196"/>
      <c r="E8" s="196"/>
      <c r="F8" s="196"/>
      <c r="G8" s="196"/>
      <c r="H8" s="196"/>
      <c r="I8" s="196"/>
      <c r="J8" s="196"/>
      <c r="K8" s="196"/>
      <c r="L8" s="10"/>
      <c r="M8" s="106"/>
    </row>
    <row r="9" spans="1:13">
      <c r="A9" s="10"/>
      <c r="B9" s="108"/>
      <c r="C9" s="196"/>
      <c r="D9" s="196"/>
      <c r="E9" s="196"/>
      <c r="F9" s="196"/>
      <c r="G9" s="196"/>
      <c r="H9" s="196"/>
      <c r="I9" s="196"/>
      <c r="J9" s="196"/>
      <c r="K9" s="196"/>
      <c r="L9" s="10"/>
      <c r="M9" s="106"/>
    </row>
    <row r="10" spans="1:13">
      <c r="A10" s="10"/>
      <c r="B10" s="108"/>
      <c r="C10" s="196"/>
      <c r="D10" s="196"/>
      <c r="E10" s="196"/>
      <c r="F10" s="196"/>
      <c r="G10" s="196"/>
      <c r="H10" s="196"/>
      <c r="I10" s="196"/>
      <c r="J10" s="196"/>
      <c r="K10" s="196"/>
      <c r="L10" s="10"/>
      <c r="M10" s="106"/>
    </row>
    <row r="11" spans="1:13">
      <c r="A11" s="10"/>
      <c r="B11" s="108"/>
      <c r="C11" s="196"/>
      <c r="D11" s="196"/>
      <c r="E11" s="196"/>
      <c r="F11" s="196"/>
      <c r="G11" s="196"/>
      <c r="H11" s="196"/>
      <c r="I11" s="196"/>
      <c r="J11" s="196"/>
      <c r="K11" s="196"/>
      <c r="L11" s="10"/>
      <c r="M11" s="106"/>
    </row>
    <row r="12" spans="1:13">
      <c r="A12" s="10"/>
      <c r="B12" s="108"/>
      <c r="C12" s="196"/>
      <c r="D12" s="196"/>
      <c r="E12" s="196"/>
      <c r="F12" s="196"/>
      <c r="G12" s="196"/>
      <c r="H12" s="196"/>
      <c r="I12" s="196"/>
      <c r="J12" s="196"/>
      <c r="K12" s="196"/>
      <c r="L12" s="10"/>
      <c r="M12" s="106"/>
    </row>
    <row r="13" spans="1:13">
      <c r="A13" s="10"/>
      <c r="B13" s="108"/>
      <c r="C13" s="196"/>
      <c r="D13" s="196"/>
      <c r="E13" s="196"/>
      <c r="F13" s="196"/>
      <c r="G13" s="196"/>
      <c r="H13" s="196"/>
      <c r="I13" s="196"/>
      <c r="J13" s="196"/>
      <c r="K13" s="196"/>
      <c r="L13" s="10"/>
      <c r="M13" s="106"/>
    </row>
    <row r="14" spans="1:13">
      <c r="A14" s="10"/>
      <c r="B14" s="108"/>
      <c r="C14" s="196"/>
      <c r="D14" s="196"/>
      <c r="E14" s="196"/>
      <c r="F14" s="196"/>
      <c r="G14" s="196"/>
      <c r="H14" s="196"/>
      <c r="I14" s="196"/>
      <c r="J14" s="196"/>
      <c r="K14" s="196"/>
      <c r="L14" s="10"/>
      <c r="M14" s="106"/>
    </row>
    <row r="15" spans="1:13">
      <c r="A15" s="10"/>
      <c r="B15" s="108"/>
      <c r="C15" s="196"/>
      <c r="D15" s="196"/>
      <c r="E15" s="196"/>
      <c r="F15" s="196"/>
      <c r="G15" s="196"/>
      <c r="H15" s="196"/>
      <c r="I15" s="196"/>
      <c r="J15" s="196"/>
      <c r="K15" s="196"/>
      <c r="L15" s="10"/>
      <c r="M15" s="106"/>
    </row>
    <row r="16" spans="1:13">
      <c r="A16" s="10"/>
      <c r="B16" s="108"/>
      <c r="C16" s="196"/>
      <c r="D16" s="196"/>
      <c r="E16" s="196"/>
      <c r="F16" s="196"/>
      <c r="G16" s="196"/>
      <c r="H16" s="196"/>
      <c r="I16" s="196"/>
      <c r="J16" s="196"/>
      <c r="K16" s="196"/>
      <c r="L16" s="10"/>
      <c r="M16" s="106"/>
    </row>
    <row r="17" spans="1:13">
      <c r="A17" s="10"/>
      <c r="B17" s="108"/>
      <c r="C17" s="196"/>
      <c r="D17" s="196"/>
      <c r="E17" s="196"/>
      <c r="F17" s="196"/>
      <c r="G17" s="196"/>
      <c r="H17" s="196"/>
      <c r="I17" s="196"/>
      <c r="J17" s="196"/>
      <c r="K17" s="196"/>
      <c r="L17" s="10"/>
      <c r="M17" s="106"/>
    </row>
    <row r="18" spans="1:13">
      <c r="A18" s="10"/>
      <c r="B18" s="108"/>
      <c r="C18" s="196"/>
      <c r="D18" s="196"/>
      <c r="E18" s="196"/>
      <c r="F18" s="196"/>
      <c r="G18" s="196"/>
      <c r="H18" s="196"/>
      <c r="I18" s="196"/>
      <c r="J18" s="196"/>
      <c r="K18" s="196"/>
      <c r="L18" s="10"/>
      <c r="M18" s="106"/>
    </row>
    <row r="19" spans="1:13">
      <c r="A19" s="10"/>
      <c r="B19" s="108"/>
      <c r="C19" s="196"/>
      <c r="D19" s="196"/>
      <c r="E19" s="196"/>
      <c r="F19" s="196"/>
      <c r="G19" s="196"/>
      <c r="H19" s="196"/>
      <c r="I19" s="196"/>
      <c r="J19" s="196"/>
      <c r="K19" s="196"/>
      <c r="L19" s="10"/>
      <c r="M19" s="106"/>
    </row>
    <row r="20" spans="1:13">
      <c r="A20" s="10"/>
      <c r="B20" s="108"/>
      <c r="C20" s="196"/>
      <c r="D20" s="196"/>
      <c r="E20" s="196"/>
      <c r="F20" s="196"/>
      <c r="G20" s="196"/>
      <c r="H20" s="196"/>
      <c r="I20" s="196"/>
      <c r="J20" s="196"/>
      <c r="K20" s="196"/>
      <c r="L20" s="10"/>
      <c r="M20" s="106"/>
    </row>
    <row r="21" spans="1:13">
      <c r="A21" s="10"/>
      <c r="B21" s="108"/>
      <c r="C21" s="196"/>
      <c r="D21" s="196"/>
      <c r="E21" s="196"/>
      <c r="F21" s="196"/>
      <c r="G21" s="196"/>
      <c r="H21" s="196"/>
      <c r="I21" s="196"/>
      <c r="J21" s="196"/>
      <c r="K21" s="196"/>
      <c r="L21" s="10"/>
      <c r="M21" s="106"/>
    </row>
    <row r="22" spans="1:13">
      <c r="A22" s="10"/>
      <c r="B22" s="108"/>
      <c r="C22" s="196"/>
      <c r="D22" s="196"/>
      <c r="E22" s="196"/>
      <c r="F22" s="196"/>
      <c r="G22" s="196"/>
      <c r="H22" s="196"/>
      <c r="I22" s="196"/>
      <c r="J22" s="196"/>
      <c r="K22" s="196"/>
      <c r="L22" s="10"/>
      <c r="M22" s="106"/>
    </row>
    <row r="23" spans="1:13">
      <c r="A23" s="10"/>
      <c r="B23" s="108"/>
      <c r="C23" s="196"/>
      <c r="D23" s="196"/>
      <c r="E23" s="196"/>
      <c r="F23" s="196"/>
      <c r="G23" s="196"/>
      <c r="H23" s="196"/>
      <c r="I23" s="196"/>
      <c r="J23" s="196"/>
      <c r="K23" s="196"/>
      <c r="L23" s="10"/>
      <c r="M23" s="106"/>
    </row>
    <row r="24" spans="1:13">
      <c r="A24" s="10"/>
      <c r="B24" s="108"/>
      <c r="C24" s="196"/>
      <c r="D24" s="196"/>
      <c r="E24" s="196"/>
      <c r="F24" s="196"/>
      <c r="G24" s="196"/>
      <c r="H24" s="196"/>
      <c r="I24" s="196"/>
      <c r="J24" s="196"/>
      <c r="K24" s="196"/>
      <c r="L24" s="10"/>
      <c r="M24" s="106"/>
    </row>
    <row r="25" spans="1:13">
      <c r="A25" s="10"/>
      <c r="B25" s="108"/>
      <c r="C25" s="196"/>
      <c r="D25" s="196"/>
      <c r="E25" s="196"/>
      <c r="F25" s="196"/>
      <c r="G25" s="196"/>
      <c r="H25" s="196"/>
      <c r="I25" s="196"/>
      <c r="J25" s="196"/>
      <c r="K25" s="196"/>
      <c r="L25" s="10"/>
      <c r="M25" s="106"/>
    </row>
    <row r="26" spans="1:13">
      <c r="A26" s="10"/>
      <c r="B26" s="108"/>
      <c r="C26" s="196"/>
      <c r="D26" s="196"/>
      <c r="E26" s="196"/>
      <c r="F26" s="196"/>
      <c r="G26" s="196"/>
      <c r="H26" s="196"/>
      <c r="I26" s="196"/>
      <c r="J26" s="196"/>
      <c r="K26" s="196"/>
      <c r="L26" s="10"/>
      <c r="M26" s="106"/>
    </row>
    <row r="27" spans="1:13" ht="9.75" customHeight="1">
      <c r="A27" s="10"/>
      <c r="B27" s="108"/>
      <c r="C27" s="111"/>
      <c r="D27" s="111"/>
      <c r="E27" s="111"/>
      <c r="F27" s="111"/>
      <c r="G27" s="111"/>
      <c r="H27" s="111"/>
      <c r="I27" s="111"/>
      <c r="J27" s="111"/>
      <c r="K27" s="111"/>
      <c r="L27" s="10"/>
      <c r="M27" s="106"/>
    </row>
    <row r="28" spans="1:13" ht="15.75">
      <c r="A28" s="10"/>
      <c r="B28" s="108"/>
      <c r="C28" s="197" t="s">
        <v>51</v>
      </c>
      <c r="D28" s="198"/>
      <c r="E28" s="198"/>
      <c r="F28" s="198"/>
      <c r="G28" s="198"/>
      <c r="H28" s="198"/>
      <c r="I28" s="198"/>
      <c r="J28" s="198"/>
      <c r="K28" s="198"/>
      <c r="L28" s="10"/>
      <c r="M28" s="106"/>
    </row>
    <row r="29" spans="1:13" ht="9" customHeight="1">
      <c r="A29" s="10"/>
      <c r="B29" s="108"/>
      <c r="C29" s="123"/>
      <c r="D29" s="122"/>
      <c r="E29" s="122"/>
      <c r="F29" s="122"/>
      <c r="G29" s="122"/>
      <c r="H29" s="122"/>
      <c r="I29" s="122"/>
      <c r="J29" s="122"/>
      <c r="K29" s="122"/>
      <c r="L29" s="10"/>
      <c r="M29" s="106"/>
    </row>
    <row r="30" spans="1:13" ht="15">
      <c r="A30" s="10"/>
      <c r="B30" s="108"/>
      <c r="C30" s="114" t="s">
        <v>40</v>
      </c>
      <c r="D30" s="115"/>
      <c r="E30" s="115"/>
      <c r="F30" s="115"/>
      <c r="G30" s="200" t="s">
        <v>60</v>
      </c>
      <c r="H30" s="200"/>
      <c r="I30" s="125"/>
      <c r="J30" s="115"/>
      <c r="K30" s="115"/>
      <c r="L30" s="10"/>
      <c r="M30" s="106"/>
    </row>
    <row r="31" spans="1:13">
      <c r="A31" s="10"/>
      <c r="B31" s="108"/>
      <c r="C31" s="115" t="s">
        <v>2</v>
      </c>
      <c r="D31" s="115">
        <f>'RWB+ Tool'!E6</f>
        <v>300</v>
      </c>
      <c r="E31" s="115" t="s">
        <v>39</v>
      </c>
      <c r="F31" s="115"/>
      <c r="G31" s="195" t="s">
        <v>4</v>
      </c>
      <c r="H31" s="195"/>
      <c r="I31" s="124">
        <f>'RWB+ Tool'!E10</f>
        <v>5</v>
      </c>
      <c r="J31" s="115" t="s">
        <v>39</v>
      </c>
      <c r="K31" s="116"/>
      <c r="L31" s="10"/>
      <c r="M31" s="106"/>
    </row>
    <row r="32" spans="1:13" ht="19.5" customHeight="1">
      <c r="A32" s="10"/>
      <c r="B32" s="108"/>
      <c r="C32" s="115" t="s">
        <v>3</v>
      </c>
      <c r="D32" s="115">
        <f>'RWB+ Tool'!E7</f>
        <v>100</v>
      </c>
      <c r="E32" s="115" t="s">
        <v>39</v>
      </c>
      <c r="F32" s="115"/>
      <c r="G32" s="195" t="s">
        <v>5</v>
      </c>
      <c r="H32" s="195"/>
      <c r="I32" s="124">
        <f>'RWB+ Tool'!E11</f>
        <v>50</v>
      </c>
      <c r="J32" s="115" t="s">
        <v>39</v>
      </c>
      <c r="K32" s="116"/>
      <c r="L32" s="10"/>
      <c r="M32" s="106"/>
    </row>
    <row r="33" spans="1:13" ht="34.5" customHeight="1">
      <c r="A33" s="10"/>
      <c r="B33" s="108"/>
      <c r="C33" s="115"/>
      <c r="D33" s="115"/>
      <c r="E33" s="115"/>
      <c r="F33" s="115"/>
      <c r="G33" s="201" t="s">
        <v>62</v>
      </c>
      <c r="H33" s="201"/>
      <c r="I33" s="117">
        <f>'RWB+ Tool'!E12</f>
        <v>50</v>
      </c>
      <c r="J33" s="118" t="s">
        <v>39</v>
      </c>
      <c r="K33" s="118"/>
      <c r="L33" s="10"/>
      <c r="M33" s="107"/>
    </row>
    <row r="34" spans="1:13" ht="4.5" customHeight="1">
      <c r="A34" s="10"/>
      <c r="B34" s="108"/>
      <c r="C34" s="115"/>
      <c r="D34" s="115"/>
      <c r="E34" s="115"/>
      <c r="F34" s="115"/>
      <c r="G34" s="115"/>
      <c r="H34" s="115"/>
      <c r="I34" s="115"/>
      <c r="J34" s="115"/>
      <c r="K34" s="115"/>
      <c r="L34" s="10"/>
      <c r="M34" s="106"/>
    </row>
    <row r="35" spans="1:13" ht="15.75">
      <c r="A35" s="10"/>
      <c r="B35" s="108"/>
      <c r="C35" s="198" t="s">
        <v>52</v>
      </c>
      <c r="D35" s="198"/>
      <c r="E35" s="198"/>
      <c r="F35" s="198"/>
      <c r="G35" s="198"/>
      <c r="H35" s="198"/>
      <c r="I35" s="198"/>
      <c r="J35" s="198"/>
      <c r="K35" s="198"/>
      <c r="L35" s="10"/>
      <c r="M35" s="106"/>
    </row>
    <row r="36" spans="1:13" ht="9" customHeight="1">
      <c r="A36" s="10"/>
      <c r="B36" s="108"/>
      <c r="C36" s="122"/>
      <c r="D36" s="122"/>
      <c r="E36" s="122"/>
      <c r="F36" s="122"/>
      <c r="G36" s="122"/>
      <c r="H36" s="122"/>
      <c r="I36" s="122"/>
      <c r="J36" s="122"/>
      <c r="K36" s="122"/>
      <c r="L36" s="10"/>
      <c r="M36" s="106"/>
    </row>
    <row r="37" spans="1:13" ht="15">
      <c r="A37" s="10"/>
      <c r="B37" s="108"/>
      <c r="C37" s="192" t="s">
        <v>53</v>
      </c>
      <c r="D37" s="192"/>
      <c r="E37" s="192"/>
      <c r="F37" s="192"/>
      <c r="G37" s="192"/>
      <c r="H37" s="192"/>
      <c r="I37" s="192"/>
      <c r="J37" s="115"/>
      <c r="K37" s="115"/>
      <c r="L37" s="10"/>
      <c r="M37" s="106"/>
    </row>
    <row r="38" spans="1:13" ht="18.75">
      <c r="A38" s="10"/>
      <c r="B38" s="108"/>
      <c r="C38" s="195" t="s">
        <v>54</v>
      </c>
      <c r="D38" s="195"/>
      <c r="E38" s="193" t="s">
        <v>63</v>
      </c>
      <c r="F38" s="193"/>
      <c r="G38" s="193"/>
      <c r="H38" s="191" t="s">
        <v>64</v>
      </c>
      <c r="I38" s="191"/>
      <c r="J38" s="191"/>
      <c r="K38" s="191"/>
      <c r="L38" s="10"/>
      <c r="M38" s="106"/>
    </row>
    <row r="39" spans="1:13">
      <c r="A39" s="10"/>
      <c r="B39" s="108"/>
      <c r="C39" s="115"/>
      <c r="D39" s="115"/>
      <c r="E39" s="115"/>
      <c r="F39" s="119" t="s">
        <v>1</v>
      </c>
      <c r="G39" s="115"/>
      <c r="H39" s="115"/>
      <c r="I39" s="119" t="s">
        <v>1</v>
      </c>
      <c r="J39" s="199"/>
      <c r="K39" s="199"/>
      <c r="L39" s="10"/>
      <c r="M39" s="106"/>
    </row>
    <row r="40" spans="1:13">
      <c r="A40" s="10"/>
      <c r="B40" s="108"/>
      <c r="C40" s="115" t="s">
        <v>45</v>
      </c>
      <c r="D40" s="115"/>
      <c r="E40" s="115"/>
      <c r="F40" s="120">
        <f>'RWB+ Tool'!N19</f>
        <v>19.435806198948193</v>
      </c>
      <c r="G40" s="115"/>
      <c r="H40" s="115"/>
      <c r="I40" s="120">
        <f>'RWB+ Tool'!O19</f>
        <v>4.6450486740516954</v>
      </c>
      <c r="J40" s="190"/>
      <c r="K40" s="190"/>
      <c r="L40" s="10"/>
      <c r="M40" s="106"/>
    </row>
    <row r="41" spans="1:13">
      <c r="A41" s="10"/>
      <c r="B41" s="108"/>
      <c r="C41" s="115" t="s">
        <v>46</v>
      </c>
      <c r="D41" s="115"/>
      <c r="E41" s="115"/>
      <c r="F41" s="120">
        <f>'RWB+ Tool'!N20</f>
        <v>19.219735220024656</v>
      </c>
      <c r="G41" s="115"/>
      <c r="H41" s="115"/>
      <c r="I41" s="120">
        <f>'RWB+ Tool'!O20</f>
        <v>6.5324007075092458</v>
      </c>
      <c r="J41" s="190"/>
      <c r="K41" s="190"/>
      <c r="L41" s="10"/>
      <c r="M41" s="106"/>
    </row>
    <row r="42" spans="1:13">
      <c r="A42" s="10"/>
      <c r="B42" s="108"/>
      <c r="C42" s="115" t="s">
        <v>47</v>
      </c>
      <c r="D42" s="115"/>
      <c r="E42" s="115"/>
      <c r="F42" s="120">
        <f>'RWB+ Tool'!N21</f>
        <v>23.122222222222224</v>
      </c>
      <c r="G42" s="115"/>
      <c r="H42" s="115"/>
      <c r="I42" s="120">
        <f>'RWB+ Tool'!O21</f>
        <v>7.0333333333333332</v>
      </c>
      <c r="J42" s="190"/>
      <c r="K42" s="190"/>
      <c r="L42" s="10"/>
      <c r="M42" s="106"/>
    </row>
    <row r="43" spans="1:13">
      <c r="A43" s="10"/>
      <c r="B43" s="108"/>
      <c r="C43" s="115" t="s">
        <v>48</v>
      </c>
      <c r="D43" s="115"/>
      <c r="E43" s="115"/>
      <c r="F43" s="120">
        <f>'RWB+ Tool'!N22</f>
        <v>28.735312561238487</v>
      </c>
      <c r="G43" s="115"/>
      <c r="H43" s="115"/>
      <c r="I43" s="120">
        <f>'RWB+ Tool'!O22</f>
        <v>12.529120125416421</v>
      </c>
      <c r="J43" s="190"/>
      <c r="K43" s="190"/>
      <c r="L43" s="10"/>
      <c r="M43" s="106"/>
    </row>
    <row r="44" spans="1:13">
      <c r="A44" s="10"/>
      <c r="B44" s="108"/>
      <c r="C44" s="115" t="s">
        <v>49</v>
      </c>
      <c r="D44" s="115"/>
      <c r="E44" s="115"/>
      <c r="F44" s="120">
        <f>'RWB+ Tool'!N23</f>
        <v>26.266666666666669</v>
      </c>
      <c r="G44" s="115"/>
      <c r="H44" s="115"/>
      <c r="I44" s="120">
        <f>'RWB+ Tool'!O23</f>
        <v>10.722222222222223</v>
      </c>
      <c r="J44" s="190"/>
      <c r="K44" s="190"/>
      <c r="L44" s="10"/>
      <c r="M44" s="106"/>
    </row>
    <row r="45" spans="1:13">
      <c r="A45" s="10"/>
      <c r="B45" s="108"/>
      <c r="C45" s="115" t="s">
        <v>50</v>
      </c>
      <c r="D45" s="115"/>
      <c r="E45" s="115"/>
      <c r="F45" s="120">
        <f>'RWB+ Tool'!N24</f>
        <v>28.508003201280513</v>
      </c>
      <c r="G45" s="115"/>
      <c r="H45" s="115"/>
      <c r="I45" s="120">
        <f>'RWB+ Tool'!O24</f>
        <v>19.32911386776933</v>
      </c>
      <c r="J45" s="190"/>
      <c r="K45" s="190"/>
      <c r="L45" s="10"/>
      <c r="M45" s="106"/>
    </row>
    <row r="46" spans="1:13">
      <c r="A46" s="10"/>
      <c r="B46" s="108"/>
      <c r="C46" s="115" t="s">
        <v>22</v>
      </c>
      <c r="D46" s="115"/>
      <c r="E46" s="115"/>
      <c r="F46" s="120">
        <f>'RWB+ Tool'!N25</f>
        <v>23.403703703703705</v>
      </c>
      <c r="G46" s="115"/>
      <c r="H46" s="115"/>
      <c r="I46" s="120">
        <f>'RWB+ Tool'!O25</f>
        <v>8.2703703703703706</v>
      </c>
      <c r="J46" s="190"/>
      <c r="K46" s="190"/>
      <c r="L46" s="10"/>
      <c r="M46" s="106"/>
    </row>
    <row r="47" spans="1:13">
      <c r="A47" s="10"/>
      <c r="B47" s="108"/>
      <c r="C47" s="115" t="s">
        <v>23</v>
      </c>
      <c r="D47" s="115"/>
      <c r="E47" s="115"/>
      <c r="F47" s="120">
        <f>'RWB+ Tool'!N26</f>
        <v>24.992592592592594</v>
      </c>
      <c r="G47" s="115"/>
      <c r="H47" s="115"/>
      <c r="I47" s="120">
        <f>'RWB+ Tool'!O26</f>
        <v>20.875925925925927</v>
      </c>
      <c r="J47" s="190"/>
      <c r="K47" s="190"/>
      <c r="L47" s="10"/>
      <c r="M47" s="106"/>
    </row>
    <row r="48" spans="1:13">
      <c r="A48" s="10"/>
      <c r="B48" s="108"/>
      <c r="C48" s="115" t="s">
        <v>24</v>
      </c>
      <c r="D48" s="115"/>
      <c r="E48" s="115"/>
      <c r="F48" s="120">
        <f>'RWB+ Tool'!N27</f>
        <v>24.992592592592594</v>
      </c>
      <c r="G48" s="115"/>
      <c r="H48" s="115"/>
      <c r="I48" s="120">
        <f>'RWB+ Tool'!O27</f>
        <v>21.012962962962963</v>
      </c>
      <c r="J48" s="190"/>
      <c r="K48" s="190"/>
      <c r="L48" s="10"/>
      <c r="M48" s="106"/>
    </row>
    <row r="49" spans="1:13">
      <c r="A49" s="10"/>
      <c r="B49" s="108"/>
      <c r="C49" s="115" t="s">
        <v>29</v>
      </c>
      <c r="D49" s="115"/>
      <c r="E49" s="115"/>
      <c r="F49" s="120">
        <f>'RWB+ Tool'!N28</f>
        <v>5.8500000000000005</v>
      </c>
      <c r="G49" s="115"/>
      <c r="H49" s="115"/>
      <c r="I49" s="120">
        <f>'RWB+ Tool'!O28</f>
        <v>1.4203703703703703</v>
      </c>
      <c r="J49" s="190"/>
      <c r="K49" s="190"/>
      <c r="L49" s="10"/>
      <c r="M49" s="106"/>
    </row>
    <row r="50" spans="1:13">
      <c r="A50" s="10"/>
      <c r="B50" s="108"/>
      <c r="C50" s="115" t="s">
        <v>30</v>
      </c>
      <c r="D50" s="115"/>
      <c r="E50" s="115"/>
      <c r="F50" s="120">
        <f>'RWB+ Tool'!N29</f>
        <v>23.24074074074074</v>
      </c>
      <c r="G50" s="115"/>
      <c r="H50" s="115"/>
      <c r="I50" s="120">
        <f>'RWB+ Tool'!O29</f>
        <v>16.666666666666668</v>
      </c>
      <c r="J50" s="190"/>
      <c r="K50" s="190"/>
      <c r="L50" s="10"/>
      <c r="M50" s="106"/>
    </row>
    <row r="51" spans="1:13">
      <c r="A51" s="10"/>
      <c r="B51" s="108"/>
      <c r="C51" s="115" t="s">
        <v>66</v>
      </c>
      <c r="D51" s="115"/>
      <c r="E51" s="115"/>
      <c r="F51" s="120">
        <f>'RWB+ Tool'!N30</f>
        <v>19.62037037037037</v>
      </c>
      <c r="G51" s="115"/>
      <c r="H51" s="115"/>
      <c r="I51" s="120">
        <f>'RWB+ Tool'!O30</f>
        <v>7.412962962962963</v>
      </c>
      <c r="J51" s="190"/>
      <c r="K51" s="190"/>
      <c r="L51" s="10"/>
      <c r="M51" s="106"/>
    </row>
    <row r="52" spans="1:13">
      <c r="A52" s="10"/>
      <c r="B52" s="108"/>
      <c r="C52" s="109"/>
      <c r="D52" s="109"/>
      <c r="E52" s="109"/>
      <c r="F52" s="112"/>
      <c r="G52" s="109"/>
      <c r="H52" s="109"/>
      <c r="I52" s="109"/>
      <c r="J52" s="109"/>
      <c r="K52" s="109"/>
      <c r="L52" s="10"/>
      <c r="M52" s="106"/>
    </row>
    <row r="53" spans="1:13">
      <c r="A53" s="10"/>
      <c r="B53" s="10"/>
      <c r="C53" s="10"/>
      <c r="D53" s="10"/>
      <c r="E53" s="10"/>
      <c r="F53" s="10"/>
      <c r="G53" s="10"/>
      <c r="H53" s="10"/>
      <c r="I53" s="10"/>
      <c r="J53" s="10"/>
      <c r="K53" s="10"/>
      <c r="L53" s="10"/>
      <c r="M53" s="106"/>
    </row>
    <row r="54" spans="1:13">
      <c r="A54" s="106"/>
      <c r="B54" s="106"/>
      <c r="C54" s="106"/>
      <c r="D54" s="106"/>
      <c r="E54" s="106"/>
      <c r="F54" s="106"/>
      <c r="G54" s="106"/>
      <c r="H54" s="106"/>
      <c r="I54" s="106"/>
      <c r="J54" s="106"/>
      <c r="K54" s="106"/>
      <c r="L54" s="106"/>
    </row>
    <row r="55" spans="1:13">
      <c r="A55" s="106"/>
      <c r="B55" s="106"/>
      <c r="C55" s="106"/>
      <c r="D55" s="106"/>
      <c r="E55" s="106"/>
      <c r="F55" s="106"/>
      <c r="G55" s="106"/>
      <c r="H55" s="106"/>
      <c r="I55" s="106"/>
      <c r="J55" s="106"/>
      <c r="K55" s="106"/>
      <c r="L55" s="106"/>
    </row>
  </sheetData>
  <mergeCells count="26">
    <mergeCell ref="J39:K39"/>
    <mergeCell ref="G30:H30"/>
    <mergeCell ref="G31:H31"/>
    <mergeCell ref="G32:H32"/>
    <mergeCell ref="G33:H33"/>
    <mergeCell ref="H3:K3"/>
    <mergeCell ref="C38:D38"/>
    <mergeCell ref="C8:K26"/>
    <mergeCell ref="C28:K28"/>
    <mergeCell ref="C35:K35"/>
    <mergeCell ref="I2:K2"/>
    <mergeCell ref="J50:K50"/>
    <mergeCell ref="J51:K51"/>
    <mergeCell ref="H38:K38"/>
    <mergeCell ref="J42:K42"/>
    <mergeCell ref="J43:K43"/>
    <mergeCell ref="J44:K44"/>
    <mergeCell ref="J45:K45"/>
    <mergeCell ref="J46:K46"/>
    <mergeCell ref="J47:K47"/>
    <mergeCell ref="J48:K48"/>
    <mergeCell ref="J49:K49"/>
    <mergeCell ref="J41:K41"/>
    <mergeCell ref="C37:I37"/>
    <mergeCell ref="E38:G38"/>
    <mergeCell ref="J40:K40"/>
  </mergeCells>
  <conditionalFormatting sqref="F40:F52">
    <cfRule type="dataBar" priority="2">
      <dataBar>
        <cfvo type="min"/>
        <cfvo type="num" val="100"/>
        <color rgb="FF29A992"/>
      </dataBar>
      <extLst>
        <ext xmlns:x14="http://schemas.microsoft.com/office/spreadsheetml/2009/9/main" uri="{B025F937-C7B1-47D3-B67F-A62EFF666E3E}">
          <x14:id>{F107BB53-4E05-423B-9CBF-90571E853556}</x14:id>
        </ext>
      </extLst>
    </cfRule>
  </conditionalFormatting>
  <conditionalFormatting sqref="I40:I51">
    <cfRule type="dataBar" priority="1">
      <dataBar>
        <cfvo type="min"/>
        <cfvo type="num" val="100"/>
        <color rgb="FF29A992"/>
      </dataBar>
      <extLst>
        <ext xmlns:x14="http://schemas.microsoft.com/office/spreadsheetml/2009/9/main" uri="{B025F937-C7B1-47D3-B67F-A62EFF666E3E}">
          <x14:id>{B1B96C34-4B68-43BF-B777-9F02167450A8}</x14:id>
        </ext>
      </extLst>
    </cfRule>
  </conditionalFormatting>
  <pageMargins left="0.25" right="0.25" top="0.75" bottom="0.75" header="0.3" footer="0.3"/>
  <pageSetup paperSize="9" fitToWidth="0"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dataBar" id="{F107BB53-4E05-423B-9CBF-90571E853556}">
            <x14:dataBar minLength="0" maxLength="100" gradient="0">
              <x14:cfvo type="autoMin"/>
              <x14:cfvo type="num">
                <xm:f>100</xm:f>
              </x14:cfvo>
              <x14:negativeFillColor rgb="FFFF0000"/>
              <x14:axisColor rgb="FF000000"/>
            </x14:dataBar>
          </x14:cfRule>
          <xm:sqref>F40:F52</xm:sqref>
        </x14:conditionalFormatting>
        <x14:conditionalFormatting xmlns:xm="http://schemas.microsoft.com/office/excel/2006/main">
          <x14:cfRule type="dataBar" id="{B1B96C34-4B68-43BF-B777-9F02167450A8}">
            <x14:dataBar minLength="0" maxLength="100" gradient="0">
              <x14:cfvo type="autoMin"/>
              <x14:cfvo type="num">
                <xm:f>100</xm:f>
              </x14:cfvo>
              <x14:negativeFillColor rgb="FFFF0000"/>
              <x14:axisColor rgb="FF000000"/>
            </x14:dataBar>
          </x14:cfRule>
          <xm:sqref>I40:I51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E33A5-37E8-429C-86F6-D20471077973}">
  <sheetPr codeName="Tabelle2"/>
  <dimension ref="A1:B14"/>
  <sheetViews>
    <sheetView workbookViewId="0">
      <selection activeCell="F23" sqref="F23"/>
    </sheetView>
  </sheetViews>
  <sheetFormatPr baseColWidth="10" defaultRowHeight="14.25"/>
  <sheetData>
    <row r="1" spans="1:2" ht="15" thickBot="1">
      <c r="A1" s="3"/>
      <c r="B1" s="46" t="s">
        <v>61</v>
      </c>
    </row>
    <row r="2" spans="1:2" ht="17.25" thickBot="1">
      <c r="A2" s="3"/>
      <c r="B2" s="1" t="s">
        <v>6</v>
      </c>
    </row>
    <row r="3" spans="1:2">
      <c r="A3" s="47" t="s">
        <v>7</v>
      </c>
      <c r="B3" s="48">
        <v>6.6199999999999995E-2</v>
      </c>
    </row>
    <row r="4" spans="1:2">
      <c r="A4" s="48" t="s">
        <v>8</v>
      </c>
      <c r="B4" s="48">
        <v>0.13819999999999999</v>
      </c>
    </row>
    <row r="5" spans="1:2">
      <c r="A5" s="48" t="s">
        <v>9</v>
      </c>
      <c r="B5" s="48">
        <v>3.8199999999999998E-2</v>
      </c>
    </row>
    <row r="6" spans="1:2">
      <c r="A6" s="48" t="s">
        <v>10</v>
      </c>
      <c r="B6" s="48">
        <v>7.5600000000000001E-2</v>
      </c>
    </row>
    <row r="7" spans="1:2">
      <c r="A7" s="48" t="s">
        <v>11</v>
      </c>
      <c r="B7" s="48">
        <v>3.95E-2</v>
      </c>
    </row>
    <row r="8" spans="1:2">
      <c r="A8" s="48" t="s">
        <v>12</v>
      </c>
      <c r="B8" s="48">
        <v>8.3299999999999999E-2</v>
      </c>
    </row>
    <row r="9" spans="1:2">
      <c r="A9" s="48" t="s">
        <v>13</v>
      </c>
      <c r="B9" s="48">
        <v>1</v>
      </c>
    </row>
    <row r="10" spans="1:2">
      <c r="A10" s="48" t="s">
        <v>14</v>
      </c>
      <c r="B10" s="48">
        <v>1</v>
      </c>
    </row>
    <row r="11" spans="1:2">
      <c r="A11" s="48" t="s">
        <v>15</v>
      </c>
      <c r="B11" s="48">
        <v>1</v>
      </c>
    </row>
    <row r="12" spans="1:2">
      <c r="A12" s="48" t="s">
        <v>16</v>
      </c>
      <c r="B12" s="49">
        <v>1</v>
      </c>
    </row>
    <row r="13" spans="1:2">
      <c r="A13" s="48" t="s">
        <v>17</v>
      </c>
      <c r="B13" s="49">
        <v>1</v>
      </c>
    </row>
    <row r="14" spans="1:2" ht="15" thickBot="1">
      <c r="A14" s="50" t="s">
        <v>18</v>
      </c>
      <c r="B14" s="51">
        <v>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D0129-7A5E-43B7-B099-BF6AFA15C46F}">
  <sheetPr codeName="Tabelle3"/>
  <dimension ref="A1:M75"/>
  <sheetViews>
    <sheetView zoomScale="60" zoomScaleNormal="60" workbookViewId="0">
      <selection activeCell="N65" sqref="N65"/>
    </sheetView>
  </sheetViews>
  <sheetFormatPr baseColWidth="10" defaultRowHeight="14.25"/>
  <cols>
    <col min="5" max="5" width="11.5" customWidth="1"/>
  </cols>
  <sheetData>
    <row r="1" spans="1:11" ht="15.75" thickBot="1">
      <c r="A1" s="202" t="s">
        <v>25</v>
      </c>
      <c r="B1" s="202"/>
      <c r="C1" s="3"/>
      <c r="D1" s="3"/>
      <c r="E1" s="203" t="s">
        <v>26</v>
      </c>
      <c r="F1" s="203"/>
      <c r="G1" s="3"/>
      <c r="H1" s="3"/>
    </row>
    <row r="2" spans="1:11" ht="15" thickBot="1">
      <c r="A2" s="56" t="s">
        <v>19</v>
      </c>
      <c r="B2" s="67" t="s">
        <v>27</v>
      </c>
      <c r="C2" s="68" t="s">
        <v>28</v>
      </c>
      <c r="D2" s="3"/>
      <c r="E2" s="56" t="s">
        <v>19</v>
      </c>
      <c r="F2" s="67" t="s">
        <v>27</v>
      </c>
      <c r="G2" s="68" t="s">
        <v>28</v>
      </c>
      <c r="H2" s="52"/>
    </row>
    <row r="3" spans="1:11" ht="15">
      <c r="A3" s="53"/>
      <c r="B3" s="4">
        <v>0</v>
      </c>
      <c r="C3" s="25">
        <v>0</v>
      </c>
      <c r="D3" s="3"/>
      <c r="E3" s="4"/>
      <c r="F3" s="4">
        <v>0</v>
      </c>
      <c r="G3" s="25">
        <v>0</v>
      </c>
      <c r="H3" s="52"/>
      <c r="I3" s="105"/>
      <c r="J3" s="105"/>
      <c r="K3" s="105"/>
    </row>
    <row r="4" spans="1:11" ht="15">
      <c r="A4" s="53"/>
      <c r="B4" s="4">
        <v>7.2</v>
      </c>
      <c r="C4" s="25">
        <v>6.1</v>
      </c>
      <c r="D4" s="3"/>
      <c r="E4" s="4"/>
      <c r="F4" s="4">
        <v>7.2</v>
      </c>
      <c r="G4" s="25">
        <v>1.3</v>
      </c>
      <c r="H4" s="52"/>
      <c r="I4" s="105"/>
      <c r="J4" s="105"/>
      <c r="K4" s="105"/>
    </row>
    <row r="5" spans="1:11" ht="15">
      <c r="A5" s="53"/>
      <c r="B5" s="4">
        <v>14.4</v>
      </c>
      <c r="C5" s="25">
        <v>11.8</v>
      </c>
      <c r="D5" s="3"/>
      <c r="E5" s="4"/>
      <c r="F5" s="4">
        <v>14.4</v>
      </c>
      <c r="G5" s="25">
        <v>2.6</v>
      </c>
      <c r="H5" s="52"/>
      <c r="I5" s="105"/>
      <c r="J5" s="105"/>
      <c r="K5" s="105"/>
    </row>
    <row r="6" spans="1:11" ht="15">
      <c r="A6" s="53"/>
      <c r="B6" s="4">
        <v>21.6</v>
      </c>
      <c r="C6" s="25">
        <v>17.3</v>
      </c>
      <c r="D6" s="3"/>
      <c r="E6" s="4"/>
      <c r="F6" s="4">
        <v>21.6</v>
      </c>
      <c r="G6" s="25">
        <v>3.9</v>
      </c>
      <c r="H6" s="52"/>
      <c r="I6" s="105"/>
      <c r="J6" s="105"/>
      <c r="K6" s="105"/>
    </row>
    <row r="7" spans="1:11" ht="15">
      <c r="A7" s="53"/>
      <c r="B7" s="4">
        <v>28.8</v>
      </c>
      <c r="C7" s="25">
        <v>21.6</v>
      </c>
      <c r="D7" s="3"/>
      <c r="E7" s="4"/>
      <c r="F7" s="4">
        <v>28.8</v>
      </c>
      <c r="G7" s="25">
        <v>5.4</v>
      </c>
      <c r="H7" s="52"/>
      <c r="I7" s="105"/>
      <c r="J7" s="105"/>
      <c r="K7" s="105"/>
    </row>
    <row r="8" spans="1:11" ht="15" thickBot="1">
      <c r="A8" s="51"/>
      <c r="B8" s="96">
        <v>39</v>
      </c>
      <c r="C8" s="97">
        <v>24.7</v>
      </c>
      <c r="D8" s="3"/>
      <c r="E8" s="4"/>
      <c r="F8" s="96">
        <v>39</v>
      </c>
      <c r="G8" s="97">
        <v>7.3</v>
      </c>
      <c r="H8" s="52"/>
    </row>
    <row r="9" spans="1:11" ht="15" thickBot="1">
      <c r="A9" s="57" t="s">
        <v>20</v>
      </c>
      <c r="B9" s="4">
        <v>0</v>
      </c>
      <c r="C9" s="25">
        <v>0</v>
      </c>
      <c r="D9" s="3"/>
      <c r="E9" s="57" t="s">
        <v>20</v>
      </c>
      <c r="F9" s="4">
        <v>0</v>
      </c>
      <c r="G9" s="25">
        <v>0</v>
      </c>
      <c r="H9" s="52"/>
    </row>
    <row r="10" spans="1:11">
      <c r="A10" s="53"/>
      <c r="B10" s="4">
        <v>7.2</v>
      </c>
      <c r="C10" s="25">
        <v>12.2</v>
      </c>
      <c r="D10" s="3"/>
      <c r="E10" s="4"/>
      <c r="F10" s="4">
        <v>7.2</v>
      </c>
      <c r="G10" s="25">
        <v>3.9</v>
      </c>
      <c r="H10" s="3"/>
    </row>
    <row r="11" spans="1:11">
      <c r="A11" s="53"/>
      <c r="B11" s="4">
        <v>14.4</v>
      </c>
      <c r="C11" s="25">
        <v>22.6</v>
      </c>
      <c r="D11" s="3"/>
      <c r="E11" s="4"/>
      <c r="F11" s="4">
        <v>14.4</v>
      </c>
      <c r="G11" s="25">
        <v>7.8</v>
      </c>
      <c r="H11" s="3"/>
    </row>
    <row r="12" spans="1:11">
      <c r="A12" s="53"/>
      <c r="B12" s="4">
        <v>21.6</v>
      </c>
      <c r="C12" s="25">
        <v>30.1</v>
      </c>
      <c r="D12" s="3"/>
      <c r="E12" s="4"/>
      <c r="F12" s="4">
        <v>21.6</v>
      </c>
      <c r="G12" s="25">
        <v>11.4</v>
      </c>
      <c r="H12" s="3"/>
    </row>
    <row r="13" spans="1:11">
      <c r="A13" s="53"/>
      <c r="B13" s="4">
        <v>28.8</v>
      </c>
      <c r="C13" s="25">
        <v>33.700000000000003</v>
      </c>
      <c r="D13" s="3"/>
      <c r="E13" s="4"/>
      <c r="F13" s="4">
        <v>28.8</v>
      </c>
      <c r="G13" s="25">
        <v>15.1</v>
      </c>
      <c r="H13" s="3"/>
    </row>
    <row r="14" spans="1:11" ht="15" thickBot="1">
      <c r="A14" s="53"/>
      <c r="B14" s="96">
        <v>39</v>
      </c>
      <c r="C14" s="97">
        <v>35.799999999999997</v>
      </c>
      <c r="D14" s="3"/>
      <c r="E14" s="4"/>
      <c r="F14" s="96">
        <v>39</v>
      </c>
      <c r="G14" s="97">
        <v>18.2</v>
      </c>
      <c r="H14" s="3"/>
    </row>
    <row r="15" spans="1:11" ht="15" thickBot="1">
      <c r="A15" s="58" t="s">
        <v>9</v>
      </c>
      <c r="B15" s="4">
        <v>0</v>
      </c>
      <c r="C15" s="25">
        <v>0</v>
      </c>
      <c r="D15" s="3"/>
      <c r="E15" s="58" t="s">
        <v>9</v>
      </c>
      <c r="F15" s="4">
        <v>0</v>
      </c>
      <c r="G15" s="25">
        <v>0</v>
      </c>
      <c r="H15" s="3"/>
    </row>
    <row r="16" spans="1:11">
      <c r="A16" s="53"/>
      <c r="B16" s="4">
        <v>7.2</v>
      </c>
      <c r="C16" s="25">
        <v>6.1</v>
      </c>
      <c r="D16" s="3"/>
      <c r="E16" s="4"/>
      <c r="F16" s="4">
        <v>7.2</v>
      </c>
      <c r="G16" s="25">
        <v>1.5</v>
      </c>
      <c r="H16" s="3"/>
    </row>
    <row r="17" spans="1:13">
      <c r="A17" s="53"/>
      <c r="B17" s="4">
        <v>14.4</v>
      </c>
      <c r="C17" s="25">
        <v>11.9</v>
      </c>
      <c r="D17" s="3"/>
      <c r="E17" s="4"/>
      <c r="F17" s="4">
        <v>14.4</v>
      </c>
      <c r="G17" s="25">
        <v>2.9</v>
      </c>
      <c r="H17" s="3"/>
    </row>
    <row r="18" spans="1:13">
      <c r="A18" s="53"/>
      <c r="B18" s="4">
        <v>21.6</v>
      </c>
      <c r="C18" s="25">
        <v>17.3</v>
      </c>
      <c r="D18" s="3"/>
      <c r="E18" s="4"/>
      <c r="F18" s="4">
        <v>21.6</v>
      </c>
      <c r="G18" s="25">
        <v>4.5</v>
      </c>
      <c r="H18" s="3"/>
    </row>
    <row r="19" spans="1:13">
      <c r="A19" s="53"/>
      <c r="B19" s="4">
        <v>28.8</v>
      </c>
      <c r="C19" s="25">
        <v>21.7</v>
      </c>
      <c r="D19" s="3"/>
      <c r="E19" s="4"/>
      <c r="F19" s="4">
        <v>28.8</v>
      </c>
      <c r="G19" s="25">
        <v>6.1</v>
      </c>
      <c r="H19" s="3"/>
    </row>
    <row r="20" spans="1:13" ht="15" thickBot="1">
      <c r="A20" s="53"/>
      <c r="B20" s="96">
        <v>39</v>
      </c>
      <c r="C20" s="97">
        <v>24.9</v>
      </c>
      <c r="D20" s="3"/>
      <c r="E20" s="4"/>
      <c r="F20" s="96">
        <v>39</v>
      </c>
      <c r="G20" s="97">
        <v>8.1999999999999993</v>
      </c>
      <c r="H20" s="3"/>
    </row>
    <row r="21" spans="1:13" ht="15" thickBot="1">
      <c r="A21" s="59" t="s">
        <v>10</v>
      </c>
      <c r="B21" s="4">
        <v>0</v>
      </c>
      <c r="C21" s="25">
        <v>0</v>
      </c>
      <c r="D21" s="3"/>
      <c r="E21" s="59" t="s">
        <v>10</v>
      </c>
      <c r="F21" s="4">
        <v>0</v>
      </c>
      <c r="G21" s="25">
        <v>0</v>
      </c>
      <c r="H21" s="3"/>
    </row>
    <row r="22" spans="1:13" ht="15">
      <c r="A22" s="53"/>
      <c r="B22" s="4">
        <v>7.2</v>
      </c>
      <c r="C22" s="25">
        <v>11.7</v>
      </c>
      <c r="D22" s="3"/>
      <c r="E22" s="4"/>
      <c r="F22" s="4">
        <v>7.2</v>
      </c>
      <c r="G22" s="25">
        <v>4.3</v>
      </c>
      <c r="H22" s="3"/>
      <c r="M22" s="7"/>
    </row>
    <row r="23" spans="1:13">
      <c r="A23" s="53"/>
      <c r="B23" s="4">
        <v>14.4</v>
      </c>
      <c r="C23" s="25">
        <v>21.5</v>
      </c>
      <c r="D23" s="3"/>
      <c r="E23" s="4"/>
      <c r="F23" s="4">
        <v>14.4</v>
      </c>
      <c r="G23" s="25">
        <v>8.4</v>
      </c>
      <c r="H23" s="3"/>
    </row>
    <row r="24" spans="1:13">
      <c r="A24" s="53"/>
      <c r="B24" s="4">
        <v>21.6</v>
      </c>
      <c r="C24" s="25">
        <v>28.5</v>
      </c>
      <c r="D24" s="3"/>
      <c r="E24" s="4"/>
      <c r="F24" s="4">
        <v>21.6</v>
      </c>
      <c r="G24" s="25">
        <v>12.3</v>
      </c>
      <c r="H24" s="3"/>
    </row>
    <row r="25" spans="1:13">
      <c r="A25" s="53"/>
      <c r="B25" s="4">
        <v>28.8</v>
      </c>
      <c r="C25" s="25">
        <v>32.299999999999997</v>
      </c>
      <c r="D25" s="3"/>
      <c r="E25" s="4"/>
      <c r="F25" s="4">
        <v>28.8</v>
      </c>
      <c r="G25" s="25">
        <v>16</v>
      </c>
      <c r="H25" s="3"/>
    </row>
    <row r="26" spans="1:13" ht="15" thickBot="1">
      <c r="A26" s="53"/>
      <c r="B26" s="96">
        <v>39</v>
      </c>
      <c r="C26" s="97">
        <v>34.6</v>
      </c>
      <c r="D26" s="3"/>
      <c r="E26" s="4"/>
      <c r="F26" s="96">
        <v>39</v>
      </c>
      <c r="G26" s="97">
        <v>19.100000000000001</v>
      </c>
      <c r="H26" s="3"/>
    </row>
    <row r="27" spans="1:13" ht="15" thickBot="1">
      <c r="A27" s="60" t="s">
        <v>11</v>
      </c>
      <c r="B27" s="4">
        <v>0</v>
      </c>
      <c r="C27" s="25">
        <v>0</v>
      </c>
      <c r="D27" s="3"/>
      <c r="E27" s="60" t="s">
        <v>11</v>
      </c>
      <c r="F27" s="4">
        <v>0</v>
      </c>
      <c r="G27" s="25">
        <v>0</v>
      </c>
      <c r="H27" s="3"/>
    </row>
    <row r="28" spans="1:13">
      <c r="A28" s="53"/>
      <c r="B28" s="4">
        <v>7.2</v>
      </c>
      <c r="C28" s="25">
        <v>7.4</v>
      </c>
      <c r="D28" s="3"/>
      <c r="E28" s="4"/>
      <c r="F28" s="4">
        <v>7.2</v>
      </c>
      <c r="G28" s="25">
        <v>2.2999999999999998</v>
      </c>
      <c r="H28" s="3"/>
    </row>
    <row r="29" spans="1:13">
      <c r="A29" s="53"/>
      <c r="B29" s="4">
        <v>14.4</v>
      </c>
      <c r="C29" s="25">
        <v>14.1</v>
      </c>
      <c r="D29" s="3"/>
      <c r="E29" s="4"/>
      <c r="F29" s="4">
        <v>14.4</v>
      </c>
      <c r="G29" s="25">
        <v>4.5</v>
      </c>
      <c r="H29" s="3"/>
    </row>
    <row r="30" spans="1:13">
      <c r="A30" s="53"/>
      <c r="B30" s="4">
        <v>21.6</v>
      </c>
      <c r="C30" s="25">
        <v>20.100000000000001</v>
      </c>
      <c r="D30" s="3"/>
      <c r="E30" s="4"/>
      <c r="F30" s="4">
        <v>21.6</v>
      </c>
      <c r="G30" s="25">
        <v>6.8</v>
      </c>
      <c r="H30" s="3"/>
    </row>
    <row r="31" spans="1:13">
      <c r="A31" s="53"/>
      <c r="B31" s="4">
        <v>28.8</v>
      </c>
      <c r="C31" s="25">
        <v>24.8</v>
      </c>
      <c r="D31" s="3"/>
      <c r="E31" s="4"/>
      <c r="F31" s="4">
        <v>28.8</v>
      </c>
      <c r="G31" s="25">
        <v>9.3000000000000007</v>
      </c>
      <c r="H31" s="3"/>
    </row>
    <row r="32" spans="1:13" ht="15" thickBot="1">
      <c r="A32" s="53"/>
      <c r="B32" s="96">
        <v>39</v>
      </c>
      <c r="C32" s="97">
        <v>28.1</v>
      </c>
      <c r="D32" s="3"/>
      <c r="E32" s="4"/>
      <c r="F32" s="96">
        <v>39</v>
      </c>
      <c r="G32" s="97">
        <v>12.5</v>
      </c>
      <c r="H32" s="3"/>
    </row>
    <row r="33" spans="1:8" ht="15" thickBot="1">
      <c r="A33" s="61" t="s">
        <v>21</v>
      </c>
      <c r="B33" s="4">
        <v>0</v>
      </c>
      <c r="C33" s="25">
        <v>0</v>
      </c>
      <c r="D33" s="3"/>
      <c r="E33" s="61" t="s">
        <v>21</v>
      </c>
      <c r="F33" s="4">
        <v>0</v>
      </c>
      <c r="G33" s="25">
        <v>0</v>
      </c>
      <c r="H33" s="3"/>
    </row>
    <row r="34" spans="1:8">
      <c r="A34" s="53"/>
      <c r="B34" s="4">
        <v>7.2</v>
      </c>
      <c r="C34" s="25">
        <v>12.2</v>
      </c>
      <c r="D34" s="3"/>
      <c r="E34" s="4"/>
      <c r="F34" s="4">
        <v>7.2</v>
      </c>
      <c r="G34" s="25">
        <v>7.3</v>
      </c>
      <c r="H34" s="3"/>
    </row>
    <row r="35" spans="1:8">
      <c r="A35" s="53"/>
      <c r="B35" s="4">
        <v>14.4</v>
      </c>
      <c r="C35" s="25">
        <v>22.9</v>
      </c>
      <c r="D35" s="3"/>
      <c r="E35" s="4"/>
      <c r="F35" s="4">
        <v>14.4</v>
      </c>
      <c r="G35" s="25">
        <v>14.5</v>
      </c>
      <c r="H35" s="3"/>
    </row>
    <row r="36" spans="1:8">
      <c r="A36" s="53"/>
      <c r="B36" s="4">
        <v>21.6</v>
      </c>
      <c r="C36" s="25">
        <v>30.1</v>
      </c>
      <c r="D36" s="3"/>
      <c r="E36" s="4"/>
      <c r="F36" s="4">
        <v>21.6</v>
      </c>
      <c r="G36" s="25">
        <v>20.7</v>
      </c>
      <c r="H36" s="3"/>
    </row>
    <row r="37" spans="1:8">
      <c r="A37" s="53"/>
      <c r="B37" s="4">
        <v>28.8</v>
      </c>
      <c r="C37" s="25">
        <v>33.799999999999997</v>
      </c>
      <c r="D37" s="3"/>
      <c r="E37" s="4"/>
      <c r="F37" s="4">
        <v>28.8</v>
      </c>
      <c r="G37" s="25">
        <v>25.8</v>
      </c>
      <c r="H37" s="3"/>
    </row>
    <row r="38" spans="1:8" ht="15" thickBot="1">
      <c r="A38" s="53"/>
      <c r="B38" s="96">
        <v>39</v>
      </c>
      <c r="C38" s="97">
        <v>36</v>
      </c>
      <c r="D38" s="3"/>
      <c r="E38" s="4"/>
      <c r="F38" s="96">
        <v>39</v>
      </c>
      <c r="G38" s="97">
        <v>28.2</v>
      </c>
      <c r="H38" s="3"/>
    </row>
    <row r="39" spans="1:8" ht="15" thickBot="1">
      <c r="A39" s="62" t="s">
        <v>22</v>
      </c>
      <c r="B39" s="4">
        <v>0</v>
      </c>
      <c r="C39" s="25">
        <v>0</v>
      </c>
      <c r="D39" s="3"/>
      <c r="E39" s="62" t="s">
        <v>22</v>
      </c>
      <c r="F39" s="4">
        <v>0</v>
      </c>
      <c r="G39" s="25">
        <v>0</v>
      </c>
      <c r="H39" s="3"/>
    </row>
    <row r="40" spans="1:8">
      <c r="A40" s="53"/>
      <c r="B40" s="4">
        <v>7.2</v>
      </c>
      <c r="C40" s="25">
        <v>11.3</v>
      </c>
      <c r="D40" s="3"/>
      <c r="E40" s="4"/>
      <c r="F40" s="4">
        <v>7.2</v>
      </c>
      <c r="G40" s="25">
        <v>3.6</v>
      </c>
      <c r="H40" s="3"/>
    </row>
    <row r="41" spans="1:8">
      <c r="A41" s="53"/>
      <c r="B41" s="4">
        <v>14.4</v>
      </c>
      <c r="C41" s="25">
        <v>21.2</v>
      </c>
      <c r="D41" s="3"/>
      <c r="E41" s="4"/>
      <c r="F41" s="4">
        <v>14.4</v>
      </c>
      <c r="G41" s="25">
        <v>7.2</v>
      </c>
      <c r="H41" s="3"/>
    </row>
    <row r="42" spans="1:8">
      <c r="A42" s="53"/>
      <c r="B42" s="4">
        <v>21.6</v>
      </c>
      <c r="C42" s="25">
        <v>28.2</v>
      </c>
      <c r="D42" s="3"/>
      <c r="E42" s="4"/>
      <c r="F42" s="4">
        <v>21.6</v>
      </c>
      <c r="G42" s="25">
        <v>10.6</v>
      </c>
      <c r="H42" s="3"/>
    </row>
    <row r="43" spans="1:8">
      <c r="A43" s="53"/>
      <c r="B43" s="4">
        <v>28.8</v>
      </c>
      <c r="C43" s="25">
        <v>31.8</v>
      </c>
      <c r="D43" s="3"/>
      <c r="E43" s="4"/>
      <c r="F43" s="4">
        <v>28.8</v>
      </c>
      <c r="G43" s="25">
        <v>13.8</v>
      </c>
      <c r="H43" s="3"/>
    </row>
    <row r="44" spans="1:8" ht="15" thickBot="1">
      <c r="A44" s="53"/>
      <c r="B44" s="96">
        <v>39</v>
      </c>
      <c r="C44" s="97">
        <v>34</v>
      </c>
      <c r="D44" s="3"/>
      <c r="E44" s="4"/>
      <c r="F44" s="96">
        <v>39</v>
      </c>
      <c r="G44" s="97">
        <v>16.5</v>
      </c>
      <c r="H44" s="3"/>
    </row>
    <row r="45" spans="1:8" ht="15" thickBot="1">
      <c r="A45" s="63" t="s">
        <v>23</v>
      </c>
      <c r="B45" s="4">
        <v>0</v>
      </c>
      <c r="C45" s="25">
        <v>0</v>
      </c>
      <c r="D45" s="3"/>
      <c r="E45" s="63" t="s">
        <v>23</v>
      </c>
      <c r="F45" s="4">
        <v>0</v>
      </c>
      <c r="G45" s="25">
        <v>0</v>
      </c>
      <c r="H45" s="3"/>
    </row>
    <row r="46" spans="1:8">
      <c r="A46" s="53"/>
      <c r="B46" s="4">
        <v>7.2</v>
      </c>
      <c r="C46" s="25">
        <v>12.2</v>
      </c>
      <c r="D46" s="3"/>
      <c r="E46" s="4"/>
      <c r="F46" s="4">
        <v>7.2</v>
      </c>
      <c r="G46" s="25">
        <v>9.5</v>
      </c>
      <c r="H46" s="3"/>
    </row>
    <row r="47" spans="1:8">
      <c r="A47" s="53"/>
      <c r="B47" s="4">
        <v>14.4</v>
      </c>
      <c r="C47" s="25">
        <v>22.6</v>
      </c>
      <c r="D47" s="3"/>
      <c r="E47" s="4"/>
      <c r="F47" s="4">
        <v>14.4</v>
      </c>
      <c r="G47" s="25">
        <v>18.2</v>
      </c>
      <c r="H47" s="3"/>
    </row>
    <row r="48" spans="1:8">
      <c r="A48" s="53"/>
      <c r="B48" s="4">
        <v>21.6</v>
      </c>
      <c r="C48" s="25">
        <v>30.2</v>
      </c>
      <c r="D48" s="3"/>
      <c r="E48" s="4"/>
      <c r="F48" s="4">
        <v>21.6</v>
      </c>
      <c r="G48" s="25">
        <v>26.7</v>
      </c>
      <c r="H48" s="3"/>
    </row>
    <row r="49" spans="1:8">
      <c r="A49" s="53"/>
      <c r="B49" s="4">
        <v>28.8</v>
      </c>
      <c r="C49" s="25">
        <v>33.700000000000003</v>
      </c>
      <c r="D49" s="3"/>
      <c r="E49" s="4"/>
      <c r="F49" s="4">
        <v>28.8</v>
      </c>
      <c r="G49" s="25">
        <v>33.5</v>
      </c>
      <c r="H49" s="3"/>
    </row>
    <row r="50" spans="1:8" ht="15" thickBot="1">
      <c r="A50" s="53"/>
      <c r="B50" s="96">
        <v>39</v>
      </c>
      <c r="C50" s="97">
        <v>35.799999999999997</v>
      </c>
      <c r="D50" s="3"/>
      <c r="E50" s="4"/>
      <c r="F50" s="96">
        <v>39</v>
      </c>
      <c r="G50" s="97">
        <v>36.799999999999997</v>
      </c>
      <c r="H50" s="3"/>
    </row>
    <row r="51" spans="1:8" ht="15" thickBot="1">
      <c r="A51" s="64" t="s">
        <v>24</v>
      </c>
      <c r="B51" s="4">
        <v>0</v>
      </c>
      <c r="C51" s="25">
        <v>0</v>
      </c>
      <c r="D51" s="3"/>
      <c r="E51" s="64" t="s">
        <v>24</v>
      </c>
      <c r="F51" s="4">
        <v>0</v>
      </c>
      <c r="G51" s="25">
        <v>0</v>
      </c>
      <c r="H51" s="3"/>
    </row>
    <row r="52" spans="1:8">
      <c r="A52" s="53"/>
      <c r="B52" s="4">
        <v>7.2</v>
      </c>
      <c r="C52" s="25">
        <v>12.2</v>
      </c>
      <c r="D52" s="3"/>
      <c r="E52" s="4"/>
      <c r="F52" s="4">
        <v>7.2</v>
      </c>
      <c r="G52" s="25">
        <v>9.5</v>
      </c>
      <c r="H52" s="3"/>
    </row>
    <row r="53" spans="1:8">
      <c r="A53" s="53"/>
      <c r="B53" s="4">
        <v>14.4</v>
      </c>
      <c r="C53" s="25">
        <v>22.6</v>
      </c>
      <c r="D53" s="3"/>
      <c r="E53" s="4"/>
      <c r="F53" s="4">
        <v>14.4</v>
      </c>
      <c r="G53" s="25">
        <v>18.399999999999999</v>
      </c>
      <c r="H53" s="3"/>
    </row>
    <row r="54" spans="1:8">
      <c r="A54" s="53"/>
      <c r="B54" s="4">
        <v>21.6</v>
      </c>
      <c r="C54" s="25">
        <v>30.2</v>
      </c>
      <c r="D54" s="3"/>
      <c r="E54" s="4"/>
      <c r="F54" s="4">
        <v>21.6</v>
      </c>
      <c r="G54" s="25">
        <v>26.7</v>
      </c>
      <c r="H54" s="3"/>
    </row>
    <row r="55" spans="1:8">
      <c r="A55" s="53"/>
      <c r="B55" s="4">
        <v>28.8</v>
      </c>
      <c r="C55" s="25">
        <v>33.700000000000003</v>
      </c>
      <c r="D55" s="3"/>
      <c r="E55" s="4"/>
      <c r="F55" s="4">
        <v>28.8</v>
      </c>
      <c r="G55" s="25">
        <v>33.6</v>
      </c>
      <c r="H55" s="3"/>
    </row>
    <row r="56" spans="1:8" ht="15" thickBot="1">
      <c r="A56" s="51"/>
      <c r="B56" s="96">
        <v>39</v>
      </c>
      <c r="C56" s="97">
        <v>35.799999999999997</v>
      </c>
      <c r="D56" s="3"/>
      <c r="E56" s="51"/>
      <c r="F56" s="96">
        <v>39</v>
      </c>
      <c r="G56" s="97">
        <v>37</v>
      </c>
      <c r="H56" s="3"/>
    </row>
    <row r="57" spans="1:8" ht="15" thickBot="1">
      <c r="A57" s="65" t="s">
        <v>29</v>
      </c>
      <c r="B57" s="4">
        <v>0</v>
      </c>
      <c r="C57" s="25">
        <v>0</v>
      </c>
      <c r="D57" s="3"/>
      <c r="E57" s="65" t="s">
        <v>29</v>
      </c>
      <c r="F57" s="4">
        <v>0</v>
      </c>
      <c r="G57" s="25">
        <v>0</v>
      </c>
      <c r="H57" s="3"/>
    </row>
    <row r="58" spans="1:8">
      <c r="A58" s="53"/>
      <c r="B58" s="4">
        <v>7.2</v>
      </c>
      <c r="C58" s="25">
        <v>2.5</v>
      </c>
      <c r="D58" s="3"/>
      <c r="E58" s="4"/>
      <c r="F58" s="4">
        <v>7.2</v>
      </c>
      <c r="G58" s="25">
        <v>0.6</v>
      </c>
      <c r="H58" s="3"/>
    </row>
    <row r="59" spans="1:8">
      <c r="A59" s="53"/>
      <c r="B59" s="4">
        <v>14.4</v>
      </c>
      <c r="C59" s="25">
        <v>5</v>
      </c>
      <c r="D59" s="3"/>
      <c r="E59" s="4"/>
      <c r="F59" s="4">
        <v>14.4</v>
      </c>
      <c r="G59" s="25">
        <v>1.2</v>
      </c>
      <c r="H59" s="3"/>
    </row>
    <row r="60" spans="1:8">
      <c r="A60" s="53"/>
      <c r="B60" s="4">
        <v>21.6</v>
      </c>
      <c r="C60" s="25">
        <v>7.7</v>
      </c>
      <c r="D60" s="3"/>
      <c r="E60" s="4"/>
      <c r="F60" s="4">
        <v>21.6</v>
      </c>
      <c r="G60" s="25">
        <v>1.9</v>
      </c>
      <c r="H60" s="3"/>
    </row>
    <row r="61" spans="1:8">
      <c r="A61" s="53"/>
      <c r="B61" s="4">
        <v>28.8</v>
      </c>
      <c r="C61" s="25">
        <v>10.199999999999999</v>
      </c>
      <c r="D61" s="3"/>
      <c r="E61" s="4"/>
      <c r="F61" s="4">
        <v>28.8</v>
      </c>
      <c r="G61" s="25">
        <v>2.7</v>
      </c>
      <c r="H61" s="3"/>
    </row>
    <row r="62" spans="1:8" ht="15" thickBot="1">
      <c r="A62" s="51"/>
      <c r="B62" s="96">
        <v>39</v>
      </c>
      <c r="C62" s="97">
        <v>12.1</v>
      </c>
      <c r="D62" s="3"/>
      <c r="E62" s="51"/>
      <c r="F62" s="96">
        <v>39</v>
      </c>
      <c r="G62" s="97">
        <v>3.7</v>
      </c>
      <c r="H62" s="3"/>
    </row>
    <row r="63" spans="1:8">
      <c r="A63" s="2" t="s">
        <v>30</v>
      </c>
      <c r="B63" s="4">
        <v>0</v>
      </c>
      <c r="C63" s="25">
        <v>0</v>
      </c>
      <c r="D63" s="3"/>
      <c r="E63" s="2" t="s">
        <v>30</v>
      </c>
      <c r="F63" s="4">
        <v>0</v>
      </c>
      <c r="G63" s="25">
        <v>0</v>
      </c>
      <c r="H63" s="3"/>
    </row>
    <row r="64" spans="1:8" ht="15" thickBot="1">
      <c r="A64" s="66" t="s">
        <v>33</v>
      </c>
      <c r="B64" s="4">
        <v>7.2</v>
      </c>
      <c r="C64" s="25">
        <v>11.3</v>
      </c>
      <c r="D64" s="3"/>
      <c r="E64" s="66" t="s">
        <v>33</v>
      </c>
      <c r="F64" s="4">
        <v>7.2</v>
      </c>
      <c r="G64" s="25">
        <v>3.1</v>
      </c>
      <c r="H64" s="3"/>
    </row>
    <row r="65" spans="1:8">
      <c r="A65" s="53"/>
      <c r="B65" s="4">
        <v>14.4</v>
      </c>
      <c r="C65" s="25">
        <v>21.1</v>
      </c>
      <c r="D65" s="3"/>
      <c r="E65" s="4"/>
      <c r="F65" s="4">
        <v>14.4</v>
      </c>
      <c r="G65" s="25">
        <v>6</v>
      </c>
      <c r="H65" s="3"/>
    </row>
    <row r="66" spans="1:8">
      <c r="A66" s="53"/>
      <c r="B66" s="4">
        <v>21.6</v>
      </c>
      <c r="C66" s="25">
        <v>27.9</v>
      </c>
      <c r="D66" s="3"/>
      <c r="E66" s="4"/>
      <c r="F66" s="4">
        <v>21.6</v>
      </c>
      <c r="G66" s="25">
        <v>8.8000000000000007</v>
      </c>
      <c r="H66" s="3"/>
    </row>
    <row r="67" spans="1:8">
      <c r="A67" s="53"/>
      <c r="B67" s="4">
        <v>28.8</v>
      </c>
      <c r="C67" s="25">
        <v>31.5</v>
      </c>
      <c r="D67" s="3"/>
      <c r="E67" s="4"/>
      <c r="F67" s="4">
        <v>28.8</v>
      </c>
      <c r="G67" s="25">
        <v>11.9</v>
      </c>
      <c r="H67" s="3"/>
    </row>
    <row r="68" spans="1:8" ht="15" thickBot="1">
      <c r="A68" s="53"/>
      <c r="B68" s="96">
        <v>39</v>
      </c>
      <c r="C68" s="97">
        <v>33.700000000000003</v>
      </c>
      <c r="D68" s="3"/>
      <c r="E68" s="53"/>
      <c r="F68" s="96">
        <v>39</v>
      </c>
      <c r="G68" s="97">
        <v>14.5</v>
      </c>
      <c r="H68" s="3"/>
    </row>
    <row r="69" spans="1:8">
      <c r="A69" s="94" t="s">
        <v>31</v>
      </c>
      <c r="B69" s="4">
        <v>0</v>
      </c>
      <c r="C69" s="25">
        <v>0</v>
      </c>
      <c r="D69" s="3"/>
      <c r="E69" s="94" t="s">
        <v>31</v>
      </c>
      <c r="F69" s="4">
        <v>0</v>
      </c>
      <c r="G69" s="25">
        <v>0</v>
      </c>
      <c r="H69" s="3"/>
    </row>
    <row r="70" spans="1:8" ht="15" thickBot="1">
      <c r="A70" s="95" t="s">
        <v>32</v>
      </c>
      <c r="B70" s="4">
        <v>7.2</v>
      </c>
      <c r="C70" s="25">
        <v>9.4</v>
      </c>
      <c r="D70" s="3"/>
      <c r="E70" s="54" t="s">
        <v>32</v>
      </c>
      <c r="F70" s="4">
        <v>7.2</v>
      </c>
      <c r="G70" s="25">
        <v>3.3</v>
      </c>
      <c r="H70" s="3"/>
    </row>
    <row r="71" spans="1:8">
      <c r="A71" s="55"/>
      <c r="B71" s="4">
        <v>14.4</v>
      </c>
      <c r="C71" s="25">
        <v>17.7</v>
      </c>
      <c r="D71" s="3"/>
      <c r="E71" s="55"/>
      <c r="F71" s="4">
        <v>14.4</v>
      </c>
      <c r="G71" s="25">
        <v>6.5</v>
      </c>
      <c r="H71" s="3"/>
    </row>
    <row r="72" spans="1:8">
      <c r="A72" s="53"/>
      <c r="B72" s="4">
        <v>21.6</v>
      </c>
      <c r="C72" s="25">
        <v>23.8</v>
      </c>
      <c r="D72" s="3"/>
      <c r="E72" s="53"/>
      <c r="F72" s="4">
        <v>21.6</v>
      </c>
      <c r="G72" s="25">
        <v>9.4</v>
      </c>
      <c r="H72" s="3"/>
    </row>
    <row r="73" spans="1:8">
      <c r="A73" s="53"/>
      <c r="B73" s="4">
        <v>28.8</v>
      </c>
      <c r="C73" s="25">
        <v>27.3</v>
      </c>
      <c r="D73" s="3"/>
      <c r="E73" s="53"/>
      <c r="F73" s="4">
        <v>28.8</v>
      </c>
      <c r="G73" s="25">
        <v>12.4</v>
      </c>
      <c r="H73" s="3"/>
    </row>
    <row r="74" spans="1:8" ht="15" thickBot="1">
      <c r="A74" s="51"/>
      <c r="B74" s="98">
        <v>39</v>
      </c>
      <c r="C74" s="99">
        <v>29.5</v>
      </c>
      <c r="D74" s="3"/>
      <c r="E74" s="51"/>
      <c r="F74" s="98">
        <v>39</v>
      </c>
      <c r="G74" s="99">
        <v>14.9</v>
      </c>
      <c r="H74" s="3"/>
    </row>
    <row r="75" spans="1:8">
      <c r="A75" s="3"/>
      <c r="B75" s="3"/>
      <c r="C75" s="3"/>
      <c r="D75" s="3"/>
      <c r="E75" s="3"/>
      <c r="F75" s="3"/>
      <c r="G75" s="3"/>
      <c r="H75" s="3"/>
    </row>
  </sheetData>
  <mergeCells count="2">
    <mergeCell ref="A1:B1"/>
    <mergeCell ref="E1:F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RWB+ Tool</vt:lpstr>
      <vt:lpstr>Report</vt:lpstr>
      <vt:lpstr>Daten_1</vt:lpstr>
      <vt:lpstr>Daten_2</vt:lpstr>
      <vt:lpstr>'RWB+ Tool'!Druckbereich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ms005924@mslic.uni-kl.de</dc:creator>
  <cp:lastModifiedBy>Jonas Neumann</cp:lastModifiedBy>
  <cp:lastPrinted>2025-04-22T04:37:01Z</cp:lastPrinted>
  <dcterms:created xsi:type="dcterms:W3CDTF">2024-05-23T14:46:40Z</dcterms:created>
  <dcterms:modified xsi:type="dcterms:W3CDTF">2025-04-24T08:03:41Z</dcterms:modified>
</cp:coreProperties>
</file>